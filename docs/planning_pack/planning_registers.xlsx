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798c55d95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3236817a0df48a8"/>
    <x:sheet xmlns:r="http://schemas.openxmlformats.org/officeDocument/2006/relationships" name="Requirements" sheetId="2" r:id="Ree17f826d2c84523"/>
    <x:sheet xmlns:r="http://schemas.openxmlformats.org/officeDocument/2006/relationships" name="Blockers" sheetId="3" r:id="Rd5b1151c15ed44f3"/>
    <x:sheet xmlns:r="http://schemas.openxmlformats.org/officeDocument/2006/relationships" name="Data_Sources" sheetId="4" r:id="R33def91956c54714"/>
    <x:sheet xmlns:r="http://schemas.openxmlformats.org/officeDocument/2006/relationships" name="Backlog" sheetId="5" r:id="R0e80cae3abfe44da"/>
    <x:sheet xmlns:r="http://schemas.openxmlformats.org/officeDocument/2006/relationships" name="Cost_Model" sheetId="6" r:id="R460c04932e774e4b"/>
    <x:sheet xmlns:r="http://schemas.openxmlformats.org/officeDocument/2006/relationships" name="Decision_Gates" sheetId="7" r:id="R6ed7597a132e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d51f78d284c8f" /><Relationship Type="http://schemas.openxmlformats.org/officeDocument/2006/relationships/theme" Target="/xl/theme/theme1.xml" Id="Rfd6ea1beb01e4503" /><Relationship Type="http://schemas.openxmlformats.org/officeDocument/2006/relationships/sharedStrings" Target="/xl/sharedStrings.xml" Id="R8034d6689f1041c7" /><Relationship Type="http://schemas.openxmlformats.org/officeDocument/2006/relationships/worksheet" Target="/xl/worksheets/sheet1.xml" Id="Rb3236817a0df48a8" /><Relationship Type="http://schemas.openxmlformats.org/officeDocument/2006/relationships/worksheet" Target="/xl/worksheets/sheet2.xml" Id="Ree17f826d2c84523" /><Relationship Type="http://schemas.openxmlformats.org/officeDocument/2006/relationships/worksheet" Target="/xl/worksheets/sheet3.xml" Id="Rd5b1151c15ed44f3" /><Relationship Type="http://schemas.openxmlformats.org/officeDocument/2006/relationships/worksheet" Target="/xl/worksheets/sheet4.xml" Id="R33def91956c54714" /><Relationship Type="http://schemas.openxmlformats.org/officeDocument/2006/relationships/worksheet" Target="/xl/worksheets/sheet5.xml" Id="R0e80cae3abfe44da" /><Relationship Type="http://schemas.openxmlformats.org/officeDocument/2006/relationships/worksheet" Target="/xl/worksheets/sheet6.xml" Id="R460c04932e774e4b" /><Relationship Type="http://schemas.openxmlformats.org/officeDocument/2006/relationships/worksheet" Target="/xl/worksheets/sheet7.xml" Id="R6ed7597a132e4c9b" /></Relationships>
</file>

<file path=xl/tables/table1.xml><?xml version="1.0" encoding="utf-8"?>
<x:table xmlns:x="http://schemas.openxmlformats.org/spreadsheetml/2006/main" id="1" name="RequirementsTable" displayName="RequirementsTable" ref="A1:F40" headerRowCount="1">
  <x:tableColumns count="6">
    <x:tableColumn id="1" name="Requirement ID"/>
    <x:tableColumn id="2" name="Domain"/>
    <x:tableColumn id="3" name="Requirement"/>
    <x:tableColumn id="4" name="Priority"/>
    <x:tableColumn id="5" name="Rationale"/>
    <x:tableColumn id="6" name="Acceptance Criteria"/>
  </x:tableColumns>
  <x:tableStyleInfo name="TableStyleMedium2" showRowStripes="1"/>
</x:table>
</file>

<file path=xl/tables/table2.xml><?xml version="1.0" encoding="utf-8"?>
<x:table xmlns:x="http://schemas.openxmlformats.org/spreadsheetml/2006/main" id="2" name="BlockersTable" displayName="BlockersTable" ref="A1:H26" headerRowCount="1">
  <x:tableColumns count="8">
    <x:tableColumn id="1" name="Risk ID"/>
    <x:tableColumn id="2" name="Category"/>
    <x:tableColumn id="3" name="Risk/Blocker"/>
    <x:tableColumn id="4" name="Severity"/>
    <x:tableColumn id="5" name="Likelihood"/>
    <x:tableColumn id="6" name="Mitigation"/>
    <x:tableColumn id="7" name="Owner"/>
    <x:tableColumn id="8" name="Stage"/>
  </x:tableColumns>
  <x:tableStyleInfo name="TableStyleMedium2" showRowStripes="1"/>
</x:table>
</file>

<file path=xl/tables/table3.xml><?xml version="1.0" encoding="utf-8"?>
<x:table xmlns:x="http://schemas.openxmlformats.org/spreadsheetml/2006/main" id="3" name="DataSourcesTable" displayName="DataSourcesTable" ref="A1:J26" headerRowCount="1">
  <x:tableColumns count="10">
    <x:tableColumn id="1" name="Source ID"/>
    <x:tableColumn id="2" name="Name"/>
    <x:tableColumn id="3" name="Organization"/>
    <x:tableColumn id="4" name="Domain"/>
    <x:tableColumn id="5" name="Source Type"/>
    <x:tableColumn id="6" name="Geography"/>
    <x:tableColumn id="7" name="MVP Priority"/>
    <x:tableColumn id="8" name="URL"/>
    <x:tableColumn id="9" name="Use"/>
    <x:tableColumn id="10" name="Caveats"/>
  </x:tableColumns>
  <x:tableStyleInfo name="TableStyleMedium2" showRowStripes="1"/>
</x:table>
</file>

<file path=xl/tables/table4.xml><?xml version="1.0" encoding="utf-8"?>
<x:table xmlns:x="http://schemas.openxmlformats.org/spreadsheetml/2006/main" id="4" name="BacklogTable" displayName="BacklogTable" ref="A1:H31" headerRowCount="1">
  <x:tableColumns count="8">
    <x:tableColumn id="1" name="Epic"/>
    <x:tableColumn id="2" name="Backlog ID"/>
    <x:tableColumn id="3" name="Item"/>
    <x:tableColumn id="4" name="Owner"/>
    <x:tableColumn id="5" name="Priority"/>
    <x:tableColumn id="6" name="Phase"/>
    <x:tableColumn id="7" name="Dependencies"/>
    <x:tableColumn id="8" name="Acceptance Criteria"/>
  </x:tableColumns>
  <x:tableStyleInfo name="TableStyleMedium2" showRowStripes="1"/>
</x:table>
</file>

<file path=xl/tables/table5.xml><?xml version="1.0" encoding="utf-8"?>
<x:table xmlns:x="http://schemas.openxmlformats.org/spreadsheetml/2006/main" id="5" name="CostModelTable" displayName="CostModelTable" ref="A1:F16" headerRowCount="1">
  <x:tableColumns count="6">
    <x:tableColumn id="1" name="Category"/>
    <x:tableColumn id="2" name="Input"/>
    <x:tableColumn id="3" name="Initial Value"/>
    <x:tableColumn id="4" name="Unit"/>
    <x:tableColumn id="5" name="Importance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ecisionGatesTable" displayName="DecisionGatesTable" ref="A1:E8" headerRowCount="1">
  <x:tableColumns count="5">
    <x:tableColumn id="1" name="Gate"/>
    <x:tableColumn id="2" name="Decision"/>
    <x:tableColumn id="3" name="Required Evidence"/>
    <x:tableColumn id="4" name="Owner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40d7b3a6964d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60f5cf58f544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fec251d28747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48a947336a4a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d95d9ee8c84c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f0d4091561446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8" hidden="0" customWidth="1"/>
  </x:cols>
  <x:sheetData>
    <x:row r="1">
      <x:c r="A1" s="5" t="str">
        <x:v>Planning Pack Dashboard</x:v>
      </x:c>
      <x:c r="B1" t="str"/>
      <x:c r="C1" t="str"/>
      <x:c r="D1" t="str"/>
    </x:row>
    <x:row r="2">
      <x:c r="A2" t="str">
        <x:v>Generated</x:v>
      </x:c>
      <x:c r="B2" t="str">
        <x:v>2026-05-28</x:v>
      </x:c>
      <x:c r="C2" t="str"/>
      <x:c r="D2" t="str"/>
    </x:row>
    <x:row r="3">
      <x:c r="A3" t="str">
        <x:v>Recommended MVP</x:v>
      </x:c>
      <x:c r="B3" t="str">
        <x:v>US rural land / homestead dossier in 3-5 counties</x:v>
      </x:c>
      <x:c r="C3" t="str"/>
      <x:c r="D3" t="str"/>
    </x:row>
    <x:row r="4">
      <x:c r="A4" t="str">
        <x:v>Storage stance</x:v>
      </x:c>
      <x:c r="B4" t="str">
        <x:v>Postgres/PostGIS system of record; object storage for heavy raw assets</x:v>
      </x:c>
      <x:c r="C4" t="str"/>
      <x:c r="D4" t="str"/>
    </x:row>
    <x:row r="5">
      <x:c r="A5" t="str">
        <x:v>Build stance</x:v>
      </x:c>
      <x:c r="B5" t="str">
        <x:v>Bottom-up: source registry -&gt; evidence -&gt; claims -&gt; report -&gt; API/UI</x:v>
      </x:c>
      <x:c r="C5" t="str"/>
      <x:c r="D5" t="str"/>
    </x:row>
    <x:row r="6">
      <x:c r="A6" t="str"/>
      <x:c r="B6" t="str"/>
      <x:c r="C6" t="str"/>
      <x:c r="D6" t="str"/>
    </x:row>
    <x:row r="7">
      <x:c r="A7" s="11" t="str">
        <x:v>Metric</x:v>
      </x:c>
      <x:c r="B7" s="11" t="str">
        <x:v>Formula/Value</x:v>
      </x:c>
      <x:c r="C7" s="11" t="str">
        <x:v>Interpretation</x:v>
      </x:c>
      <x:c r="D7" s="11" t="str"/>
    </x:row>
    <x:row r="8">
      <x:c r="A8" t="str">
        <x:v>Requirements count</x:v>
      </x:c>
      <x:c r="B8" t="n">
        <x:f>COUNTA(Requirements!A2:A200)</x:f>
        <x:v>39</x:v>
      </x:c>
      <x:c r="C8" t="str">
        <x:v>Total traced requirements</x:v>
      </x:c>
      <x:c r="D8" t="str"/>
    </x:row>
    <x:row r="9">
      <x:c r="A9" t="str">
        <x:v>Must requirements</x:v>
      </x:c>
      <x:c r="B9" t="n">
        <x:f>COUNTIF(Requirements!D2:D200,"Must")</x:f>
        <x:v>33</x:v>
      </x:c>
      <x:c r="C9" t="str">
        <x:v>Hard requirements</x:v>
      </x:c>
      <x:c r="D9" t="str"/>
    </x:row>
    <x:row r="10">
      <x:c r="A10" t="str">
        <x:v>Critical risks</x:v>
      </x:c>
      <x:c r="B10" t="n">
        <x:f>COUNTIF(Blockers!D2:D200,"Critical")</x:f>
        <x:v>7</x:v>
      </x:c>
      <x:c r="C10" t="str">
        <x:v>Highest-severity blockers</x:v>
      </x:c>
      <x:c r="D10" t="str"/>
    </x:row>
    <x:row r="11">
      <x:c r="A11" t="str">
        <x:v>High risks</x:v>
      </x:c>
      <x:c r="B11" t="n">
        <x:f>COUNTIF(Blockers!D2:D200,"High")</x:f>
        <x:v>12</x:v>
      </x:c>
      <x:c r="C11" t="str">
        <x:v>Material blockers</x:v>
      </x:c>
      <x:c r="D11" t="str"/>
    </x:row>
    <x:row r="12">
      <x:c r="A12" t="str">
        <x:v>Must-have data sources</x:v>
      </x:c>
      <x:c r="B12" t="n">
        <x:f>COUNTIF(Data_Sources!G2:G200,"Must")</x:f>
        <x:v>8</x:v>
      </x:c>
      <x:c r="C12" t="str">
        <x:v>Required source categories</x:v>
      </x:c>
      <x:c r="D12" t="str"/>
    </x:row>
    <x:row r="13">
      <x:c r="A13" t="str">
        <x:v>Backlog must items</x:v>
      </x:c>
      <x:c r="B13" t="n">
        <x:f>COUNTIF(Backlog!E2:E200,"Must")</x:f>
        <x:v>23</x:v>
      </x:c>
      <x:c r="C13" t="str">
        <x:v>Critical build tasks</x:v>
      </x:c>
      <x:c r="D13" t="str"/>
    </x:row>
    <x:row r="14">
      <x:c r="A14" t="str">
        <x:v>Cost inputs tracked</x:v>
      </x:c>
      <x:c r="B14" t="n">
        <x:f>COUNTA(Cost_Model!A2:A200)</x:f>
        <x:v>15</x:v>
      </x:c>
      <x:c r="C14" t="str">
        <x:v>Inputs for unit economics</x:v>
      </x:c>
      <x:c r="D14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</x:cols>
  <x:sheetData>
    <x:row r="1">
      <x:c r="A1" s="17" t="str">
        <x:v>Requirement ID</x:v>
      </x:c>
      <x:c r="B1" s="17" t="str">
        <x:v>Domain</x:v>
      </x:c>
      <x:c r="C1" s="17" t="str">
        <x:v>Requirement</x:v>
      </x:c>
      <x:c r="D1" s="17" t="str">
        <x:v>Priority</x:v>
      </x:c>
      <x:c r="E1" s="17" t="str">
        <x:v>Rationale</x:v>
      </x:c>
      <x:c r="F1" s="17" t="str">
        <x:v>Acceptance Criteria</x:v>
      </x:c>
    </x:row>
    <x:row r="2">
      <x:c r="A2" s="22" t="str">
        <x:v>REQ-CORE-001</x:v>
      </x:c>
      <x:c r="B2" s="22" t="str">
        <x:v>Core</x:v>
      </x:c>
      <x:c r="C2" s="22" t="str">
        <x:v>The system shall store every area with validated geometry and source/provenance metadata.</x:v>
      </x:c>
      <x:c r="D2" s="22" t="str">
        <x:v>Must</x:v>
      </x:c>
      <x:c r="E2" s="22" t="str">
        <x:v>Postgres/PostGIS</x:v>
      </x:c>
      <x:c r="F2" s="22" t="str">
        <x:v>Area geometry can be queried spatially and has confidence/source fields.</x:v>
      </x:c>
    </x:row>
    <x:row r="3">
      <x:c r="A3" s="22" t="str">
        <x:v>REQ-CORE-002</x:v>
      </x:c>
      <x:c r="B3" s="22" t="str">
        <x:v>Core</x:v>
      </x:c>
      <x:c r="C3" s="22" t="str">
        <x:v>The system shall support parcels, polygons, localities, watersheds, corridors, and generated candidates.</x:v>
      </x:c>
      <x:c r="D3" s="22" t="str">
        <x:v>Must</x:v>
      </x:c>
      <x:c r="E3" s="22" t="str">
        <x:v>Global-ready area model</x:v>
      </x:c>
      <x:c r="F3" s="22" t="str">
        <x:v>Area type enum supports all MVP and future area categories.</x:v>
      </x:c>
    </x:row>
    <x:row r="4">
      <x:c r="A4" s="22" t="str">
        <x:v>REQ-CORE-003</x:v>
      </x:c>
      <x:c r="B4" s="22" t="str">
        <x:v>Core</x:v>
      </x:c>
      <x:c r="C4" s="22" t="str">
        <x:v>The system shall store report runs as reproducible artifacts with source manifests.</x:v>
      </x:c>
      <x:c r="D4" s="22" t="str">
        <x:v>Must</x:v>
      </x:c>
      <x:c r="E4" s="22" t="str">
        <x:v>Reproducibility</x:v>
      </x:c>
      <x:c r="F4" s="22" t="str">
        <x:v>A report run includes source versions, rule version, method versions, and timestamp.</x:v>
      </x:c>
    </x:row>
    <x:row r="5">
      <x:c r="A5" s="22" t="str">
        <x:v>REQ-SRC-001</x:v>
      </x:c>
      <x:c r="B5" s="22" t="str">
        <x:v>Source Registry</x:v>
      </x:c>
      <x:c r="C5" s="22" t="str">
        <x:v>The system shall maintain a source registry before using any dataset.</x:v>
      </x:c>
      <x:c r="D5" s="22" t="str">
        <x:v>Must</x:v>
      </x:c>
      <x:c r="E5" s="22" t="str">
        <x:v>Data governance</x:v>
      </x:c>
      <x:c r="F5" s="22" t="str">
        <x:v>Every dataset version references a source registry row.</x:v>
      </x:c>
    </x:row>
    <x:row r="6">
      <x:c r="A6" s="22" t="str">
        <x:v>REQ-SRC-002</x:v>
      </x:c>
      <x:c r="B6" s="22" t="str">
        <x:v>Source Registry</x:v>
      </x:c>
      <x:c r="C6" s="22" t="str">
        <x:v>The system shall store license/entitlement attributes per source.</x:v>
      </x:c>
      <x:c r="D6" s="22" t="str">
        <x:v>Must</x:v>
      </x:c>
      <x:c r="E6" s="22" t="str">
        <x:v>Data rights</x:v>
      </x:c>
      <x:c r="F6" s="22" t="str">
        <x:v>Display/export/cache/AI-use flags are available to policy checks.</x:v>
      </x:c>
    </x:row>
    <x:row r="7">
      <x:c r="A7" s="22" t="str">
        <x:v>REQ-SRC-003</x:v>
      </x:c>
      <x:c r="B7" s="22" t="str">
        <x:v>Source Registry</x:v>
      </x:c>
      <x:c r="C7" s="22" t="str">
        <x:v>The system shall record failed source lookups as evidence.</x:v>
      </x:c>
      <x:c r="D7" s="22" t="str">
        <x:v>Must</x:v>
      </x:c>
      <x:c r="E7" s="22" t="str">
        <x:v>False negative prevention</x:v>
      </x:c>
      <x:c r="F7" s="22" t="str">
        <x:v>Source failures appear in report unknowns.</x:v>
      </x:c>
    </x:row>
    <x:row r="8">
      <x:c r="A8" s="22" t="str">
        <x:v>REQ-SRC-004</x:v>
      </x:c>
      <x:c r="B8" s="22" t="str">
        <x:v>Source Registry</x:v>
      </x:c>
      <x:c r="C8" s="22" t="str">
        <x:v>The system shall store immutable raw source snapshots where license permits.</x:v>
      </x:c>
      <x:c r="D8" s="22" t="str">
        <x:v>Should</x:v>
      </x:c>
      <x:c r="E8" s="22" t="str">
        <x:v>Reproducibility</x:v>
      </x:c>
      <x:c r="F8" s="22" t="str">
        <x:v>Dataset version rows have checksums and storage URIs.</x:v>
      </x:c>
    </x:row>
    <x:row r="9">
      <x:c r="A9" s="22" t="str">
        <x:v>REQ-DATA-001</x:v>
      </x:c>
      <x:c r="B9" s="22" t="str">
        <x:v>Data Ingestion</x:v>
      </x:c>
      <x:c r="C9" s="22" t="str">
        <x:v>The system shall validate CRS, geometry validity, row counts, and schema drift on ingest.</x:v>
      </x:c>
      <x:c r="D9" s="22" t="str">
        <x:v>Must</x:v>
      </x:c>
      <x:c r="E9" s="22" t="str">
        <x:v>Data QA</x:v>
      </x:c>
      <x:c r="F9" s="22" t="str">
        <x:v>Ingest run stores validation metrics and warnings.</x:v>
      </x:c>
    </x:row>
    <x:row r="10">
      <x:c r="A10" s="22" t="str">
        <x:v>REQ-DATA-002</x:v>
      </x:c>
      <x:c r="B10" s="22" t="str">
        <x:v>Data Ingestion</x:v>
      </x:c>
      <x:c r="C10" s="22" t="str">
        <x:v>The system shall preserve source-native attributes in JSON alongside normalized fields.</x:v>
      </x:c>
      <x:c r="D10" s="22" t="str">
        <x:v>Should</x:v>
      </x:c>
      <x:c r="E10" s="22" t="str">
        <x:v>Non-fragility</x:v>
      </x:c>
      <x:c r="F10" s="22" t="str">
        <x:v>Source schema changes do not destroy unknown fields.</x:v>
      </x:c>
    </x:row>
    <x:row r="11">
      <x:c r="A11" s="22" t="str">
        <x:v>REQ-DATA-003</x:v>
      </x:c>
      <x:c r="B11" s="22" t="str">
        <x:v>Data Ingestion</x:v>
      </x:c>
      <x:c r="C11" s="22" t="str">
        <x:v>The system shall support local/jurisdiction adapters.</x:v>
      </x:c>
      <x:c r="D11" s="22" t="str">
        <x:v>Must</x:v>
      </x:c>
      <x:c r="E11" s="22" t="str">
        <x:v>Expansion</x:v>
      </x:c>
      <x:c r="F11" s="22" t="str">
        <x:v>New county/state sources can be added without core schema rewrite.</x:v>
      </x:c>
    </x:row>
    <x:row r="12">
      <x:c r="A12" s="22" t="str">
        <x:v>REQ-GEO-001</x:v>
      </x:c>
      <x:c r="B12" s="22" t="str">
        <x:v>Feature Extraction</x:v>
      </x:c>
      <x:c r="C12" s="22" t="str">
        <x:v>The system shall compute flood/wetland intersection metrics for an area.</x:v>
      </x:c>
      <x:c r="D12" s="22" t="str">
        <x:v>Must</x:v>
      </x:c>
      <x:c r="E12" s="22" t="str">
        <x:v>MVP report</x:v>
      </x:c>
      <x:c r="F12" s="22" t="str">
        <x:v>Evidence records include intersection area/percent.</x:v>
      </x:c>
    </x:row>
    <x:row r="13">
      <x:c r="A13" s="22" t="str">
        <x:v>REQ-GEO-002</x:v>
      </x:c>
      <x:c r="B13" s="22" t="str">
        <x:v>Feature Extraction</x:v>
      </x:c>
      <x:c r="C13" s="22" t="str">
        <x:v>The system shall compute slope/elevation metrics.</x:v>
      </x:c>
      <x:c r="D13" s="22" t="str">
        <x:v>Must</x:v>
      </x:c>
      <x:c r="E13" s="22" t="str">
        <x:v>MVP report</x:v>
      </x:c>
      <x:c r="F13" s="22" t="str">
        <x:v>Evidence/metrics include mean/max/percentile slope or buildable-area proxy.</x:v>
      </x:c>
    </x:row>
    <x:row r="14">
      <x:c r="A14" s="22" t="str">
        <x:v>REQ-GEO-003</x:v>
      </x:c>
      <x:c r="B14" s="22" t="str">
        <x:v>Feature Extraction</x:v>
      </x:c>
      <x:c r="C14" s="22" t="str">
        <x:v>The system shall compute road/access proximity as proxy evidence only.</x:v>
      </x:c>
      <x:c r="D14" s="22" t="str">
        <x:v>Must</x:v>
      </x:c>
      <x:c r="E14" s="22" t="str">
        <x:v>Access caveat</x:v>
      </x:c>
      <x:c r="F14" s="22" t="str">
        <x:v>Claim language states physical proximity does not prove legal access.</x:v>
      </x:c>
    </x:row>
    <x:row r="15">
      <x:c r="A15" s="22" t="str">
        <x:v>REQ-GEO-004</x:v>
      </x:c>
      <x:c r="B15" s="22" t="str">
        <x:v>Feature Extraction</x:v>
      </x:c>
      <x:c r="C15" s="22" t="str">
        <x:v>The system shall compute nearest environmental regulated facilities where source data is available.</x:v>
      </x:c>
      <x:c r="D15" s="22" t="str">
        <x:v>Should</x:v>
      </x:c>
      <x:c r="E15" s="22" t="str">
        <x:v>MVP hazards</x:v>
      </x:c>
      <x:c r="F15" s="22" t="str">
        <x:v>Evidence includes distance, facility ID, and source date.</x:v>
      </x:c>
    </x:row>
    <x:row r="16">
      <x:c r="A16" s="22" t="str">
        <x:v>REQ-EVID-001</x:v>
      </x:c>
      <x:c r="B16" s="22" t="str">
        <x:v>Evidence</x:v>
      </x:c>
      <x:c r="C16" s="22" t="str">
        <x:v>The system shall store evidence separately from claims.</x:v>
      </x:c>
      <x:c r="D16" s="22" t="str">
        <x:v>Must</x:v>
      </x:c>
      <x:c r="E16" s="22" t="str">
        <x:v>Claim-first model</x:v>
      </x:c>
      <x:c r="F16" s="22" t="str">
        <x:v>Claims join to evidence through claim_evidence table.</x:v>
      </x:c>
    </x:row>
    <x:row r="17">
      <x:c r="A17" s="22" t="str">
        <x:v>REQ-EVID-002</x:v>
      </x:c>
      <x:c r="B17" s="22" t="str">
        <x:v>Evidence</x:v>
      </x:c>
      <x:c r="C17" s="22" t="str">
        <x:v>The system shall support negative evidence and source-failure evidence.</x:v>
      </x:c>
      <x:c r="D17" s="22" t="str">
        <x:v>Must</x:v>
      </x:c>
      <x:c r="E17" s="22" t="str">
        <x:v>Unknown handling</x:v>
      </x:c>
      <x:c r="F17" s="22" t="str">
        <x:v>Reports distinguish none found vs source unavailable.</x:v>
      </x:c>
    </x:row>
    <x:row r="18">
      <x:c r="A18" s="22" t="str">
        <x:v>REQ-EVID-003</x:v>
      </x:c>
      <x:c r="B18" s="22" t="str">
        <x:v>Evidence</x:v>
      </x:c>
      <x:c r="C18" s="22" t="str">
        <x:v>Evidence shall include method code and method version.</x:v>
      </x:c>
      <x:c r="D18" s="22" t="str">
        <x:v>Must</x:v>
      </x:c>
      <x:c r="E18" s="22" t="str">
        <x:v>Auditability</x:v>
      </x:c>
      <x:c r="F18" s="22" t="str">
        <x:v>Every evidence row has method_code/method_version.</x:v>
      </x:c>
    </x:row>
    <x:row r="19">
      <x:c r="A19" s="22" t="str">
        <x:v>REQ-CLAIM-001</x:v>
      </x:c>
      <x:c r="B19" s="22" t="str">
        <x:v>Claims</x:v>
      </x:c>
      <x:c r="C19" s="22" t="str">
        <x:v>Every claim shall link to at least one evidence item unless it is explicitly marked as a source failure/unknown claim.</x:v>
      </x:c>
      <x:c r="D19" s="22" t="str">
        <x:v>Must</x:v>
      </x:c>
      <x:c r="E19" s="22" t="str">
        <x:v>Trust</x:v>
      </x:c>
      <x:c r="F19" s="22" t="str">
        <x:v>Claim-evidence link exists or unknown reason is present.</x:v>
      </x:c>
    </x:row>
    <x:row r="20">
      <x:c r="A20" s="22" t="str">
        <x:v>REQ-CLAIM-002</x:v>
      </x:c>
      <x:c r="B20" s="22" t="str">
        <x:v>Claims</x:v>
      </x:c>
      <x:c r="C20" s="22" t="str">
        <x:v>Claims shall include confidence and severity bands.</x:v>
      </x:c>
      <x:c r="D20" s="22" t="str">
        <x:v>Must</x:v>
      </x:c>
      <x:c r="E20" s="22" t="str">
        <x:v>Risk reporting</x:v>
      </x:c>
      <x:c r="F20" s="22" t="str">
        <x:v>Reports display both fields.</x:v>
      </x:c>
    </x:row>
    <x:row r="21">
      <x:c r="A21" s="22" t="str">
        <x:v>REQ-CLAIM-003</x:v>
      </x:c>
      <x:c r="B21" s="22" t="str">
        <x:v>Claims</x:v>
      </x:c>
      <x:c r="C21" s="22" t="str">
        <x:v>High and critical claims shall generate verification tasks.</x:v>
      </x:c>
      <x:c r="D21" s="22" t="str">
        <x:v>Must</x:v>
      </x:c>
      <x:c r="E21" s="22" t="str">
        <x:v>User safety</x:v>
      </x:c>
      <x:c r="F21" s="22" t="str">
        <x:v>Verification task row created.</x:v>
      </x:c>
    </x:row>
    <x:row r="22">
      <x:c r="A22" s="22" t="str">
        <x:v>REQ-RULE-001</x:v>
      </x:c>
      <x:c r="B22" s="22" t="str">
        <x:v>Rules</x:v>
      </x:c>
      <x:c r="C22" s="22" t="str">
        <x:v>Hard gates shall execute before weighted scoring.</x:v>
      </x:c>
      <x:c r="D22" s="22" t="str">
        <x:v>Must</x:v>
      </x:c>
      <x:c r="E22" s="22" t="str">
        <x:v>Avoid false precision</x:v>
      </x:c>
      <x:c r="F22" s="22" t="str">
        <x:v>Rule run output shows gate results before suitability band.</x:v>
      </x:c>
    </x:row>
    <x:row r="23">
      <x:c r="A23" s="22" t="str">
        <x:v>REQ-RULE-002</x:v>
      </x:c>
      <x:c r="B23" s="22" t="str">
        <x:v>Rules</x:v>
      </x:c>
      <x:c r="C23" s="22" t="str">
        <x:v>Rulesets shall be versioned and immutable after report publication.</x:v>
      </x:c>
      <x:c r="D23" s="22" t="str">
        <x:v>Must</x:v>
      </x:c>
      <x:c r="E23" s="22" t="str">
        <x:v>Reproducibility</x:v>
      </x:c>
      <x:c r="F23" s="22" t="str">
        <x:v>Report references rule_version_id.</x:v>
      </x:c>
    </x:row>
    <x:row r="24">
      <x:c r="A24" s="22" t="str">
        <x:v>REQ-RULE-003</x:v>
      </x:c>
      <x:c r="B24" s="22" t="str">
        <x:v>Rules</x:v>
      </x:c>
      <x:c r="C24" s="22" t="str">
        <x:v>Suitability and confidence shall be reported separately.</x:v>
      </x:c>
      <x:c r="D24" s="22" t="str">
        <x:v>Must</x:v>
      </x:c>
      <x:c r="E24" s="22" t="str">
        <x:v>Trust</x:v>
      </x:c>
      <x:c r="F24" s="22" t="str">
        <x:v>Report has both suitability band and confidence summary.</x:v>
      </x:c>
    </x:row>
    <x:row r="25">
      <x:c r="A25" s="22" t="str">
        <x:v>REQ-REP-001</x:v>
      </x:c>
      <x:c r="B25" s="22" t="str">
        <x:v>Reports</x:v>
      </x:c>
      <x:c r="C25" s="22" t="str">
        <x:v>Reports shall include executive summary, red flags, unknowns, verification tasks, and source appendix.</x:v>
      </x:c>
      <x:c r="D25" s="22" t="str">
        <x:v>Must</x:v>
      </x:c>
      <x:c r="E25" s="22" t="str">
        <x:v>MVP output</x:v>
      </x:c>
      <x:c r="F25" s="22" t="str">
        <x:v>Report template includes required sections.</x:v>
      </x:c>
    </x:row>
    <x:row r="26">
      <x:c r="A26" s="22" t="str">
        <x:v>REQ-REP-002</x:v>
      </x:c>
      <x:c r="B26" s="22" t="str">
        <x:v>Reports</x:v>
      </x:c>
      <x:c r="C26" s="22" t="str">
        <x:v>Reports shall avoid definitive legal/title/survey/appraisal wording.</x:v>
      </x:c>
      <x:c r="D26" s="22" t="str">
        <x:v>Must</x:v>
      </x:c>
      <x:c r="E26" s="22" t="str">
        <x:v>Compliance</x:v>
      </x:c>
      <x:c r="F26" s="22" t="str">
        <x:v>Safe-language lint passes.</x:v>
      </x:c>
    </x:row>
    <x:row r="27">
      <x:c r="A27" s="22" t="str">
        <x:v>REQ-REP-003</x:v>
      </x:c>
      <x:c r="B27" s="22" t="str">
        <x:v>Reports</x:v>
      </x:c>
      <x:c r="C27" s="22" t="str">
        <x:v>Reports shall include machine-readable JSON output.</x:v>
      </x:c>
      <x:c r="D27" s="22" t="str">
        <x:v>Should</x:v>
      </x:c>
      <x:c r="E27" s="22" t="str">
        <x:v>Integrations</x:v>
      </x:c>
      <x:c r="F27" s="22" t="str">
        <x:v>Report run has machine_json_uri.</x:v>
      </x:c>
    </x:row>
    <x:row r="28">
      <x:c r="A28" s="22" t="str">
        <x:v>REQ-QA-001</x:v>
      </x:c>
      <x:c r="B28" s="22" t="str">
        <x:v>QA</x:v>
      </x:c>
      <x:c r="C28" s="22" t="str">
        <x:v>Golden parcels shall be maintained for regression tests.</x:v>
      </x:c>
      <x:c r="D28" s="22" t="str">
        <x:v>Must</x:v>
      </x:c>
      <x:c r="E28" s="22" t="str">
        <x:v>Quality</x:v>
      </x:c>
      <x:c r="F28" s="22" t="str">
        <x:v>Regression suite includes known flood/wetland/access/zoning cases.</x:v>
      </x:c>
    </x:row>
    <x:row r="29">
      <x:c r="A29" s="22" t="str">
        <x:v>REQ-QA-002</x:v>
      </x:c>
      <x:c r="B29" s="22" t="str">
        <x:v>QA</x:v>
      </x:c>
      <x:c r="C29" s="22" t="str">
        <x:v>All beta reports shall receive human review.</x:v>
      </x:c>
      <x:c r="D29" s="22" t="str">
        <x:v>Must</x:v>
      </x:c>
      <x:c r="E29" s="22" t="str">
        <x:v>Beta safety</x:v>
      </x:c>
      <x:c r="F29" s="22" t="str">
        <x:v>Report status cannot become approved without reviewer action.</x:v>
      </x:c>
    </x:row>
    <x:row r="30">
      <x:c r="A30" s="22" t="str">
        <x:v>REQ-QA-003</x:v>
      </x:c>
      <x:c r="B30" s="22" t="str">
        <x:v>QA</x:v>
      </x:c>
      <x:c r="C30" s="22" t="str">
        <x:v>The system shall log per-report cost metrics.</x:v>
      </x:c>
      <x:c r="D30" s="22" t="str">
        <x:v>Must</x:v>
      </x:c>
      <x:c r="E30" s="22" t="str">
        <x:v>Unit economics</x:v>
      </x:c>
      <x:c r="F30" s="22" t="str">
        <x:v>Report run contains cost_metrics JSON.</x:v>
      </x:c>
    </x:row>
    <x:row r="31">
      <x:c r="A31" s="22" t="str">
        <x:v>REQ-SEC-001</x:v>
      </x:c>
      <x:c r="B31" s="22" t="str">
        <x:v>Security</x:v>
      </x:c>
      <x:c r="C31" s="22" t="str">
        <x:v>Workspace-level access control shall protect user/report data.</x:v>
      </x:c>
      <x:c r="D31" s="22" t="str">
        <x:v>Must</x:v>
      </x:c>
      <x:c r="E31" s="22" t="str">
        <x:v>Security</x:v>
      </x:c>
      <x:c r="F31" s="22" t="str">
        <x:v>All area/report queries scoped to workspace.</x:v>
      </x:c>
    </x:row>
    <x:row r="32">
      <x:c r="A32" s="22" t="str">
        <x:v>REQ-SEC-002</x:v>
      </x:c>
      <x:c r="B32" s="22" t="str">
        <x:v>Security</x:v>
      </x:c>
      <x:c r="C32" s="22" t="str">
        <x:v>Data-license entitlements shall control display and export.</x:v>
      </x:c>
      <x:c r="D32" s="22" t="str">
        <x:v>Must</x:v>
      </x:c>
      <x:c r="E32" s="22" t="str">
        <x:v>Data rights</x:v>
      </x:c>
      <x:c r="F32" s="22" t="str">
        <x:v>Export path checks source flags.</x:v>
      </x:c>
    </x:row>
    <x:row r="33">
      <x:c r="A33" s="22" t="str">
        <x:v>REQ-LEGAL-001</x:v>
      </x:c>
      <x:c r="B33" s="22" t="str">
        <x:v>Compliance</x:v>
      </x:c>
      <x:c r="C33" s="22" t="str">
        <x:v>The MVP shall not use protected-class demographic variables for scoring.</x:v>
      </x:c>
      <x:c r="D33" s="22" t="str">
        <x:v>Must</x:v>
      </x:c>
      <x:c r="E33" s="22" t="str">
        <x:v>Fair housing risk</x:v>
      </x:c>
      <x:c r="F33" s="22" t="str">
        <x:v>No protected-class inputs exist in MVP ruleset.</x:v>
      </x:c>
    </x:row>
    <x:row r="34">
      <x:c r="A34" s="22" t="str">
        <x:v>REQ-LEGAL-002</x:v>
      </x:c>
      <x:c r="B34" s="22" t="str">
        <x:v>Compliance</x:v>
      </x:c>
      <x:c r="C34" s="22" t="str">
        <x:v>The MVP shall not position outputs as mortgage AVMs or appraisals.</x:v>
      </x:c>
      <x:c r="D34" s="22" t="str">
        <x:v>Must</x:v>
      </x:c>
      <x:c r="E34" s="22" t="str">
        <x:v>AVM risk</x:v>
      </x:c>
      <x:c r="F34" s="22" t="str">
        <x:v>Report contains valuation disclaimer and no collateral-value output.</x:v>
      </x:c>
    </x:row>
    <x:row r="35">
      <x:c r="A35" s="22" t="str">
        <x:v>REQ-OPS-001</x:v>
      </x:c>
      <x:c r="B35" s="22" t="str">
        <x:v>Operations</x:v>
      </x:c>
      <x:c r="C35" s="22" t="str">
        <x:v>Source onboarding shall require license review, QA, and documented caveats.</x:v>
      </x:c>
      <x:c r="D35" s="22" t="str">
        <x:v>Must</x:v>
      </x:c>
      <x:c r="E35" s="22" t="str">
        <x:v>Governance</x:v>
      </x:c>
      <x:c r="F35" s="22" t="str">
        <x:v>Source status cannot be production without checklist.</x:v>
      </x:c>
    </x:row>
    <x:row r="36">
      <x:c r="A36" s="22" t="str">
        <x:v>REQ-OPS-002</x:v>
      </x:c>
      <x:c r="B36" s="22" t="str">
        <x:v>Operations</x:v>
      </x:c>
      <x:c r="C36" s="22" t="str">
        <x:v>Reviewer overrides shall preserve original evidence and be audited.</x:v>
      </x:c>
      <x:c r="D36" s="22" t="str">
        <x:v>Must</x:v>
      </x:c>
      <x:c r="E36" s="22" t="str">
        <x:v>Audit</x:v>
      </x:c>
      <x:c r="F36" s="22" t="str">
        <x:v>Audit event written for override.</x:v>
      </x:c>
    </x:row>
    <x:row r="37">
      <x:c r="A37" s="22" t="str">
        <x:v>REQ-API-001</x:v>
      </x:c>
      <x:c r="B37" s="22" t="str">
        <x:v>API</x:v>
      </x:c>
      <x:c r="C37" s="22" t="str">
        <x:v>Report generation shall be asynchronous and idempotent.</x:v>
      </x:c>
      <x:c r="D37" s="22" t="str">
        <x:v>Must</x:v>
      </x:c>
      <x:c r="E37" s="22" t="str">
        <x:v>Scalability</x:v>
      </x:c>
      <x:c r="F37" s="22" t="str">
        <x:v>POST /reports accepts idempotency key and returns job/report ID.</x:v>
      </x:c>
    </x:row>
    <x:row r="38">
      <x:c r="A38" s="22" t="str">
        <x:v>REQ-API-002</x:v>
      </x:c>
      <x:c r="B38" s="22" t="str">
        <x:v>API</x:v>
      </x:c>
      <x:c r="C38" s="22" t="str">
        <x:v>API responses shall distinguish false, unknown, missing, and source failed.</x:v>
      </x:c>
      <x:c r="D38" s="22" t="str">
        <x:v>Must</x:v>
      </x:c>
      <x:c r="E38" s="22" t="str">
        <x:v>Semantic correctness</x:v>
      </x:c>
      <x:c r="F38" s="22" t="str">
        <x:v>Response schema includes status fields.</x:v>
      </x:c>
    </x:row>
    <x:row r="39">
      <x:c r="A39" s="22" t="str">
        <x:v>REQ-GLB-001</x:v>
      </x:c>
      <x:c r="B39" s="22" t="str">
        <x:v>Global</x:v>
      </x:c>
      <x:c r="C39" s="22" t="str">
        <x:v>Core area/evidence/claim schemas shall not hard-code U.S.-specific legal terms.</x:v>
      </x:c>
      <x:c r="D39" s="22" t="str">
        <x:v>Should</x:v>
      </x:c>
      <x:c r="E39" s="22" t="str">
        <x:v>Global readiness</x:v>
      </x:c>
      <x:c r="F39" s="22" t="str">
        <x:v>Jurisdiction-specific fields live in adapters/metadata.</x:v>
      </x:c>
    </x:row>
    <x:row r="40">
      <x:c r="A40" s="22" t="str">
        <x:v>REQ-GLB-002</x:v>
      </x:c>
      <x:c r="B40" s="22" t="str">
        <x:v>Global</x:v>
      </x:c>
      <x:c r="C40" s="22" t="str">
        <x:v>Global reports shall state diligence tier.</x:v>
      </x:c>
      <x:c r="D40" s="22" t="str">
        <x:v>Should</x:v>
      </x:c>
      <x:c r="E40" s="22" t="str">
        <x:v>Scope clarity</x:v>
      </x:c>
      <x:c r="F40" s="22" t="str">
        <x:v>Tier 0/1/2 label appears in global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dc40d7b3a6964d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17" t="str">
        <x:v>Risk ID</x:v>
      </x:c>
      <x:c r="B1" s="17" t="str">
        <x:v>Category</x:v>
      </x:c>
      <x:c r="C1" s="17" t="str">
        <x:v>Risk/Blocker</x:v>
      </x:c>
      <x:c r="D1" s="17" t="str">
        <x:v>Severity</x:v>
      </x:c>
      <x:c r="E1" s="17" t="str">
        <x:v>Likelihood</x:v>
      </x:c>
      <x:c r="F1" s="17" t="str">
        <x:v>Mitigation</x:v>
      </x:c>
      <x:c r="G1" s="17" t="str">
        <x:v>Owner</x:v>
      </x:c>
      <x:c r="H1" s="17" t="str">
        <x:v>Stage</x:v>
      </x:c>
    </x:row>
    <x:row r="2">
      <x:c r="A2" s="22" t="str">
        <x:v>R-001</x:v>
      </x:c>
      <x:c r="B2" s="22" t="str">
        <x:v>Data</x:v>
      </x:c>
      <x:c r="C2" s="22" t="str">
        <x:v>Parcel data license forbids report export or caching.</x:v>
      </x:c>
      <x:c r="D2" s="22" t="str">
        <x:v>Critical</x:v>
      </x:c>
      <x:c r="E2" s="22" t="str">
        <x:v>Medium</x:v>
      </x:c>
      <x:c r="F2" s="22" t="str">
        <x:v>Perform vendor license audit before beta; implement entitlement gates.</x:v>
      </x:c>
      <x:c r="G2" s="22" t="str">
        <x:v>Data/Legal</x:v>
      </x:c>
      <x:c r="H2" s="22" t="str">
        <x:v>Pre-beta</x:v>
      </x:c>
    </x:row>
    <x:row r="3">
      <x:c r="A3" s="22" t="str">
        <x:v>R-002</x:v>
      </x:c>
      <x:c r="B3" s="22" t="str">
        <x:v>Data</x:v>
      </x:c>
      <x:c r="C3" s="22" t="str">
        <x:v>County zoning data is stale, ambiguous, or not machine-readable.</x:v>
      </x:c>
      <x:c r="D3" s="22" t="str">
        <x:v>Critical</x:v>
      </x:c>
      <x:c r="E3" s="22" t="str">
        <x:v>High</x:v>
      </x:c>
      <x:c r="F3" s="22" t="str">
        <x:v>Start with 3-5 counties; human QA; source citations; local adapter.</x:v>
      </x:c>
      <x:c r="G3" s="22" t="str">
        <x:v>Data/Product</x:v>
      </x:c>
      <x:c r="H3" s="22" t="str">
        <x:v>MVP</x:v>
      </x:c>
    </x:row>
    <x:row r="4">
      <x:c r="A4" s="22" t="str">
        <x:v>R-003</x:v>
      </x:c>
      <x:c r="B4" s="22" t="str">
        <x:v>Legal</x:v>
      </x:c>
      <x:c r="C4" s="22" t="str">
        <x:v>System implies legal buildability or access.</x:v>
      </x:c>
      <x:c r="D4" s="22" t="str">
        <x:v>Critical</x:v>
      </x:c>
      <x:c r="E4" s="22" t="str">
        <x:v>Medium</x:v>
      </x:c>
      <x:c r="F4" s="22" t="str">
        <x:v>Safe-language lint; disclaimers; verification tasks; legal review.</x:v>
      </x:c>
      <x:c r="G4" s="22" t="str">
        <x:v>Legal/Product</x:v>
      </x:c>
      <x:c r="H4" s="22" t="str">
        <x:v>MVP</x:v>
      </x:c>
    </x:row>
    <x:row r="5">
      <x:c r="A5" s="22" t="str">
        <x:v>R-004</x:v>
      </x:c>
      <x:c r="B5" s="22" t="str">
        <x:v>Legal</x:v>
      </x:c>
      <x:c r="C5" s="22" t="str">
        <x:v>Fair housing/steering issue from residential area recommendations.</x:v>
      </x:c>
      <x:c r="D5" s="22" t="str">
        <x:v>High</x:v>
      </x:c>
      <x:c r="E5" s="22" t="str">
        <x:v>Medium</x:v>
      </x:c>
      <x:c r="F5" s="22" t="str">
        <x:v>No demographic scoring; legal review before recommendation features.</x:v>
      </x:c>
      <x:c r="G5" s="22" t="str">
        <x:v>Legal</x:v>
      </x:c>
      <x:c r="H5" s="22" t="str">
        <x:v>Later</x:v>
      </x:c>
    </x:row>
    <x:row r="6">
      <x:c r="A6" s="22" t="str">
        <x:v>R-005</x:v>
      </x:c>
      <x:c r="B6" s="22" t="str">
        <x:v>Legal</x:v>
      </x:c>
      <x:c r="C6" s="22" t="str">
        <x:v>Output becomes regulated AVM if valuation expands.</x:v>
      </x:c>
      <x:c r="D6" s="22" t="str">
        <x:v>High</x:v>
      </x:c>
      <x:c r="E6" s="22" t="str">
        <x:v>Medium</x:v>
      </x:c>
      <x:c r="F6" s="22" t="str">
        <x:v>No mortgage valuation; legal review before valuation features.</x:v>
      </x:c>
      <x:c r="G6" s="22" t="str">
        <x:v>Legal/Product</x:v>
      </x:c>
      <x:c r="H6" s="22" t="str">
        <x:v>Later</x:v>
      </x:c>
    </x:row>
    <x:row r="7">
      <x:c r="A7" s="22" t="str">
        <x:v>R-006</x:v>
      </x:c>
      <x:c r="B7" s="22" t="str">
        <x:v>Technical</x:v>
      </x:c>
      <x:c r="C7" s="22" t="str">
        <x:v>Postgres overloaded by raster-heavy workloads.</x:v>
      </x:c>
      <x:c r="D7" s="22" t="str">
        <x:v>Medium</x:v>
      </x:c>
      <x:c r="E7" s="22" t="str">
        <x:v>Medium</x:v>
      </x:c>
      <x:c r="F7" s="22" t="str">
        <x:v>Store raw rasters as COG/object assets; derive summary metrics; async jobs.</x:v>
      </x:c>
      <x:c r="G7" s="22" t="str">
        <x:v>Engineering</x:v>
      </x:c>
      <x:c r="H7" s="22" t="str">
        <x:v>MVP</x:v>
      </x:c>
    </x:row>
    <x:row r="8">
      <x:c r="A8" s="22" t="str">
        <x:v>R-007</x:v>
      </x:c>
      <x:c r="B8" s="22" t="str">
        <x:v>Technical</x:v>
      </x:c>
      <x:c r="C8" s="22" t="str">
        <x:v>Projection/CRS error causes wrong overlays.</x:v>
      </x:c>
      <x:c r="D8" s="22" t="str">
        <x:v>Critical</x:v>
      </x:c>
      <x:c r="E8" s="22" t="str">
        <x:v>Low/Medium</x:v>
      </x:c>
      <x:c r="F8" s="22" t="str">
        <x:v>CRS validation tests; golden parcels; geometry pipeline review.</x:v>
      </x:c>
      <x:c r="G8" s="22" t="str">
        <x:v>Geo Eng</x:v>
      </x:c>
      <x:c r="H8" s="22" t="str">
        <x:v>MVP</x:v>
      </x:c>
    </x:row>
    <x:row r="9">
      <x:c r="A9" s="22" t="str">
        <x:v>R-008</x:v>
      </x:c>
      <x:c r="B9" s="22" t="str">
        <x:v>Technical</x:v>
      </x:c>
      <x:c r="C9" s="22" t="str">
        <x:v>Source API outage silently becomes 'no issue found'.</x:v>
      </x:c>
      <x:c r="D9" s="22" t="str">
        <x:v>Critical</x:v>
      </x:c>
      <x:c r="E9" s="22" t="str">
        <x:v>Medium</x:v>
      </x:c>
      <x:c r="F9" s="22" t="str">
        <x:v>Record source failure evidence; fail report or mark unknown.</x:v>
      </x:c>
      <x:c r="G9" s="22" t="str">
        <x:v>Backend/Data</x:v>
      </x:c>
      <x:c r="H9" s="22" t="str">
        <x:v>MVP</x:v>
      </x:c>
    </x:row>
    <x:row r="10">
      <x:c r="A10" s="22" t="str">
        <x:v>R-009</x:v>
      </x:c>
      <x:c r="B10" s="22" t="str">
        <x:v>Financial</x:v>
      </x:c>
      <x:c r="C10" s="22" t="str">
        <x:v>Per-report cost exceeds price.</x:v>
      </x:c>
      <x:c r="D10" s="22" t="str">
        <x:v>High</x:v>
      </x:c>
      <x:c r="E10" s="22" t="str">
        <x:v>Medium</x:v>
      </x:c>
      <x:c r="F10" s="22" t="str">
        <x:v>Instrument cost per report; concierge price test.</x:v>
      </x:c>
      <x:c r="G10" s="22" t="str">
        <x:v>Product/Finance</x:v>
      </x:c>
      <x:c r="H10" s="22" t="str">
        <x:v>MVP</x:v>
      </x:c>
    </x:row>
    <x:row r="11">
      <x:c r="A11" s="22" t="str">
        <x:v>R-010</x:v>
      </x:c>
      <x:c r="B11" s="22" t="str">
        <x:v>Product</x:v>
      </x:c>
      <x:c r="C11" s="22" t="str">
        <x:v>Users want listing/comps search more than due diligence.</x:v>
      </x:c>
      <x:c r="D11" s="22" t="str">
        <x:v>Medium</x:v>
      </x:c>
      <x:c r="E11" s="22" t="str">
        <x:v>Medium</x:v>
      </x:c>
      <x:c r="F11" s="22" t="str">
        <x:v>Manual beta interviews; compare willingness to pay.</x:v>
      </x:c>
      <x:c r="G11" s="22" t="str">
        <x:v>Product</x:v>
      </x:c>
      <x:c r="H11" s="22" t="str">
        <x:v>Phase 0</x:v>
      </x:c>
    </x:row>
    <x:row r="12">
      <x:c r="A12" s="22" t="str">
        <x:v>R-011</x:v>
      </x:c>
      <x:c r="B12" s="22" t="str">
        <x:v>Ops</x:v>
      </x:c>
      <x:c r="C12" s="22" t="str">
        <x:v>Human review does not scale.</x:v>
      </x:c>
      <x:c r="D12" s="22" t="str">
        <x:v>High</x:v>
      </x:c>
      <x:c r="E12" s="22" t="str">
        <x:v>Medium</x:v>
      </x:c>
      <x:c r="F12" s="22" t="str">
        <x:v>Risk-based review after golden tests; structured reviewer console.</x:v>
      </x:c>
      <x:c r="G12" s="22" t="str">
        <x:v>Ops</x:v>
      </x:c>
      <x:c r="H12" s="22" t="str">
        <x:v>Beta</x:v>
      </x:c>
    </x:row>
    <x:row r="13">
      <x:c r="A13" s="22" t="str">
        <x:v>R-012</x:v>
      </x:c>
      <x:c r="B13" s="22" t="str">
        <x:v>Data</x:v>
      </x:c>
      <x:c r="C13" s="22" t="str">
        <x:v>Wetlands/flood layers treated as final regulatory determinations.</x:v>
      </x:c>
      <x:c r="D13" s="22" t="str">
        <x:v>High</x:v>
      </x:c>
      <x:c r="E13" s="22" t="str">
        <x:v>Medium</x:v>
      </x:c>
      <x:c r="F13" s="22" t="str">
        <x:v>Caveats; professional verification tasks.</x:v>
      </x:c>
      <x:c r="G13" s="22" t="str">
        <x:v>Product/Legal</x:v>
      </x:c>
      <x:c r="H13" s="22" t="str">
        <x:v>MVP</x:v>
      </x:c>
    </x:row>
    <x:row r="14">
      <x:c r="A14" s="22" t="str">
        <x:v>R-013</x:v>
      </x:c>
      <x:c r="B14" s="22" t="str">
        <x:v>Data</x:v>
      </x:c>
      <x:c r="C14" s="22" t="str">
        <x:v>Legal access cannot be inferred from maps.</x:v>
      </x:c>
      <x:c r="D14" s="22" t="str">
        <x:v>Critical</x:v>
      </x:c>
      <x:c r="E14" s="22" t="str">
        <x:v>High</x:v>
      </x:c>
      <x:c r="F14" s="22" t="str">
        <x:v>Always phrase as access risk; title/easement verification task.</x:v>
      </x:c>
      <x:c r="G14" s="22" t="str">
        <x:v>Product</x:v>
      </x:c>
      <x:c r="H14" s="22" t="str">
        <x:v>MVP</x:v>
      </x:c>
    </x:row>
    <x:row r="15">
      <x:c r="A15" s="22" t="str">
        <x:v>R-014</x:v>
      </x:c>
      <x:c r="B15" s="22" t="str">
        <x:v>Data</x:v>
      </x:c>
      <x:c r="C15" s="22" t="str">
        <x:v>Water rights/well viability too complex in first geography.</x:v>
      </x:c>
      <x:c r="D15" s="22" t="str">
        <x:v>High</x:v>
      </x:c>
      <x:c r="E15" s="22" t="str">
        <x:v>Medium</x:v>
      </x:c>
      <x:c r="F15" s="22" t="str">
        <x:v>Select geography carefully; water module separate; cautious wording.</x:v>
      </x:c>
      <x:c r="G15" s="22" t="str">
        <x:v>Product/Data</x:v>
      </x:c>
      <x:c r="H15" s="22" t="str">
        <x:v>MVP</x:v>
      </x:c>
    </x:row>
    <x:row r="16">
      <x:c r="A16" s="22" t="str">
        <x:v>R-015</x:v>
      </x:c>
      <x:c r="B16" s="22" t="str">
        <x:v>Data</x:v>
      </x:c>
      <x:c r="C16" s="22" t="str">
        <x:v>Mineral source data stale or rights severed.</x:v>
      </x:c>
      <x:c r="D16" s="22" t="str">
        <x:v>Medium</x:v>
      </x:c>
      <x:c r="E16" s="22" t="str">
        <x:v>High</x:v>
      </x:c>
      <x:c r="F16" s="22" t="str">
        <x:v>Screen only; never assert mineral rights; cite source freshness.</x:v>
      </x:c>
      <x:c r="G16" s="22" t="str">
        <x:v>Data/Product</x:v>
      </x:c>
      <x:c r="H16" s="22" t="str">
        <x:v>Later</x:v>
      </x:c>
    </x:row>
    <x:row r="17">
      <x:c r="A17" s="22" t="str">
        <x:v>R-016</x:v>
      </x:c>
      <x:c r="B17" s="22" t="str">
        <x:v>Security</x:v>
      </x:c>
      <x:c r="C17" s="22" t="str">
        <x:v>Owner/user data exposed across workspaces.</x:v>
      </x:c>
      <x:c r="D17" s="22" t="str">
        <x:v>Critical</x:v>
      </x:c>
      <x:c r="E17" s="22" t="str">
        <x:v>Low/Medium</x:v>
      </x:c>
      <x:c r="F17" s="22" t="str">
        <x:v>RBAC, tenant scoping, audit, tests.</x:v>
      </x:c>
      <x:c r="G17" s="22" t="str">
        <x:v>Engineering</x:v>
      </x:c>
      <x:c r="H17" s="22" t="str">
        <x:v>MVP</x:v>
      </x:c>
    </x:row>
    <x:row r="18">
      <x:c r="A18" s="22" t="str">
        <x:v>R-017</x:v>
      </x:c>
      <x:c r="B18" s="22" t="str">
        <x:v>Architecture</x:v>
      </x:c>
      <x:c r="C18" s="22" t="str">
        <x:v>Vendor schemas leak into core logic.</x:v>
      </x:c>
      <x:c r="D18" s="22" t="str">
        <x:v>High</x:v>
      </x:c>
      <x:c r="E18" s="22" t="str">
        <x:v>Medium</x:v>
      </x:c>
      <x:c r="F18" s="22" t="str">
        <x:v>Adapter normalization; evidence layer boundary.</x:v>
      </x:c>
      <x:c r="G18" s="22" t="str">
        <x:v>Engineering</x:v>
      </x:c>
      <x:c r="H18" s="22" t="str">
        <x:v>MVP</x:v>
      </x:c>
    </x:row>
    <x:row r="19">
      <x:c r="A19" s="22" t="str">
        <x:v>R-018</x:v>
      </x:c>
      <x:c r="B19" s="22" t="str">
        <x:v>Architecture</x:v>
      </x:c>
      <x:c r="C19" s="22" t="str">
        <x:v>UI computes conclusions client-side.</x:v>
      </x:c>
      <x:c r="D19" s="22" t="str">
        <x:v>Medium</x:v>
      </x:c>
      <x:c r="E19" s="22" t="str">
        <x:v>Medium</x:v>
      </x:c>
      <x:c r="F19" s="22" t="str">
        <x:v>Server-authoritative claim/rules/report APIs.</x:v>
      </x:c>
      <x:c r="G19" s="22" t="str">
        <x:v>Engineering</x:v>
      </x:c>
      <x:c r="H19" s="22" t="str">
        <x:v>Productization</x:v>
      </x:c>
    </x:row>
    <x:row r="20">
      <x:c r="A20" s="22" t="str">
        <x:v>R-019</x:v>
      </x:c>
      <x:c r="B20" s="22" t="str">
        <x:v>Data</x:v>
      </x:c>
      <x:c r="C20" s="22" t="str">
        <x:v>Commercial data terms prohibit AI processing.</x:v>
      </x:c>
      <x:c r="D20" s="22" t="str">
        <x:v>High</x:v>
      </x:c>
      <x:c r="E20" s="22" t="str">
        <x:v>Medium</x:v>
      </x:c>
      <x:c r="F20" s="22" t="str">
        <x:v>License review includes AI-use flag.</x:v>
      </x:c>
      <x:c r="G20" s="22" t="str">
        <x:v>Legal/Data</x:v>
      </x:c>
      <x:c r="H20" s="22" t="str">
        <x:v>Pre-beta</x:v>
      </x:c>
    </x:row>
    <x:row r="21">
      <x:c r="A21" s="22" t="str">
        <x:v>R-020</x:v>
      </x:c>
      <x:c r="B21" s="22" t="str">
        <x:v>Trust</x:v>
      </x:c>
      <x:c r="C21" s="22" t="str">
        <x:v>Single score hides missing data and uncertainty.</x:v>
      </x:c>
      <x:c r="D21" s="22" t="str">
        <x:v>High</x:v>
      </x:c>
      <x:c r="E21" s="22" t="str">
        <x:v>Medium</x:v>
      </x:c>
      <x:c r="F21" s="22" t="str">
        <x:v>Suitability/confidence separation; unknown count visible.</x:v>
      </x:c>
      <x:c r="G21" s="22" t="str">
        <x:v>Product</x:v>
      </x:c>
      <x:c r="H21" s="22" t="str">
        <x:v>MVP</x:v>
      </x:c>
    </x:row>
    <x:row r="22">
      <x:c r="A22" s="22" t="str">
        <x:v>R-021</x:v>
      </x:c>
      <x:c r="B22" s="22" t="str">
        <x:v>Global</x:v>
      </x:c>
      <x:c r="C22" s="22" t="str">
        <x:v>Global promise exceeds data/legal coverage.</x:v>
      </x:c>
      <x:c r="D22" s="22" t="str">
        <x:v>High</x:v>
      </x:c>
      <x:c r="E22" s="22" t="str">
        <x:v>High</x:v>
      </x:c>
      <x:c r="F22" s="22" t="str">
        <x:v>Tiered global labels; no Tier 2 claims without local data.</x:v>
      </x:c>
      <x:c r="G22" s="22" t="str">
        <x:v>Product</x:v>
      </x:c>
      <x:c r="H22" s="22" t="str">
        <x:v>Later</x:v>
      </x:c>
    </x:row>
    <x:row r="23">
      <x:c r="A23" s="22" t="str">
        <x:v>R-022</x:v>
      </x:c>
      <x:c r="B23" s="22" t="str">
        <x:v>Technical</x:v>
      </x:c>
      <x:c r="C23" s="22" t="str">
        <x:v>Report runs are not reproducible after source updates.</x:v>
      </x:c>
      <x:c r="D23" s="22" t="str">
        <x:v>High</x:v>
      </x:c>
      <x:c r="E23" s="22" t="str">
        <x:v>Medium</x:v>
      </x:c>
      <x:c r="F23" s="22" t="str">
        <x:v>Dataset versions/source manifests/ruleset versioning.</x:v>
      </x:c>
      <x:c r="G23" s="22" t="str">
        <x:v>Engineering</x:v>
      </x:c>
      <x:c r="H23" s="22" t="str">
        <x:v>MVP</x:v>
      </x:c>
    </x:row>
    <x:row r="24">
      <x:c r="A24" s="22" t="str">
        <x:v>R-023</x:v>
      </x:c>
      <x:c r="B24" s="22" t="str">
        <x:v>Ops</x:v>
      </x:c>
      <x:c r="C24" s="22" t="str">
        <x:v>Source update breaks golden parcel results.</x:v>
      </x:c>
      <x:c r="D24" s="22" t="str">
        <x:v>Medium</x:v>
      </x:c>
      <x:c r="E24" s="22" t="str">
        <x:v>High</x:v>
      </x:c>
      <x:c r="F24" s="22" t="str">
        <x:v>Regression tests before source promotion.</x:v>
      </x:c>
      <x:c r="G24" s="22" t="str">
        <x:v>Data QA</x:v>
      </x:c>
      <x:c r="H24" s="22" t="str">
        <x:v>MVP</x:v>
      </x:c>
    </x:row>
    <x:row r="25">
      <x:c r="A25" s="22" t="str">
        <x:v>R-024</x:v>
      </x:c>
      <x:c r="B25" s="22" t="str">
        <x:v>Financial</x:v>
      </x:c>
      <x:c r="C25" s="22" t="str">
        <x:v>Map/tile/egress costs spike under UI usage.</x:v>
      </x:c>
      <x:c r="D25" s="22" t="str">
        <x:v>Medium</x:v>
      </x:c>
      <x:c r="E25" s="22" t="str">
        <x:v>Medium</x:v>
      </x:c>
      <x:c r="F25" s="22" t="str">
        <x:v>Cache tiles/assets; cap usage; budget alarms.</x:v>
      </x:c>
      <x:c r="G25" s="22" t="str">
        <x:v>Engineering/Finance</x:v>
      </x:c>
      <x:c r="H25" s="22" t="str">
        <x:v>Productization</x:v>
      </x:c>
    </x:row>
    <x:row r="26">
      <x:c r="A26" s="22" t="str">
        <x:v>R-025</x:v>
      </x:c>
      <x:c r="B26" s="22" t="str">
        <x:v>Legal</x:v>
      </x:c>
      <x:c r="C26" s="22" t="str">
        <x:v>Report wording creates reliance/professional liability.</x:v>
      </x:c>
      <x:c r="D26" s="22" t="str">
        <x:v>High</x:v>
      </x:c>
      <x:c r="E26" s="22" t="str">
        <x:v>Medium</x:v>
      </x:c>
      <x:c r="F26" s="22" t="str">
        <x:v>Legal review, E&amp;O insurance review, cautious language.</x:v>
      </x:c>
      <x:c r="G26" s="22" t="str">
        <x:v>Legal</x:v>
      </x:c>
      <x:c r="H26" s="22" t="str">
        <x:v>Beta</x:v>
      </x:c>
    </x:row>
  </x:sheetData>
  <x:pageMargins left="0.7" right="0.7" top="0.75" bottom="0.75" header="0.3" footer="0.3"/>
  <x:tableParts count="1">
    <x:tablePart xmlns:r="http://schemas.openxmlformats.org/officeDocument/2006/relationships" r:id="R9960f5cf58f544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>
      <x:c r="A1" s="17" t="str">
        <x:v>Source ID</x:v>
      </x:c>
      <x:c r="B1" s="17" t="str">
        <x:v>Name</x:v>
      </x:c>
      <x:c r="C1" s="17" t="str">
        <x:v>Organization</x:v>
      </x:c>
      <x:c r="D1" s="17" t="str">
        <x:v>Domain</x:v>
      </x:c>
      <x:c r="E1" s="17" t="str">
        <x:v>Source Type</x:v>
      </x:c>
      <x:c r="F1" s="17" t="str">
        <x:v>Geography</x:v>
      </x:c>
      <x:c r="G1" s="17" t="str">
        <x:v>MVP Priority</x:v>
      </x:c>
      <x:c r="H1" s="17" t="str">
        <x:v>URL</x:v>
      </x:c>
      <x:c r="I1" s="17" t="str">
        <x:v>Use</x:v>
      </x:c>
      <x:c r="J1" s="17" t="str">
        <x:v>Caveats</x:v>
      </x:c>
    </x:row>
    <x:row r="2">
      <x:c r="A2" s="22" t="str">
        <x:v>DS-001</x:v>
      </x:c>
      <x:c r="B2" s="22" t="str">
        <x:v>USGS The National Map</x:v>
      </x:c>
      <x:c r="C2" s="22" t="str">
        <x:v>USGS</x:v>
      </x:c>
      <x:c r="D2" s="22" t="str">
        <x:v>Terrain/elevation/hydro/boundaries</x:v>
      </x:c>
      <x:c r="E2" s="22" t="str">
        <x:v>Public official</x:v>
      </x:c>
      <x:c r="F2" s="22" t="str">
        <x:v>US</x:v>
      </x:c>
      <x:c r="G2" s="22" t="str">
        <x:v>Must</x:v>
      </x:c>
      <x:c r="H2" s="22" t="str">
        <x:v>https://www.usgs.gov/programs/national-geospatial-program/national-map</x:v>
      </x:c>
      <x:c r="I2" s="22" t="str">
        <x:v>Elevation/slope and base layers</x:v>
      </x:c>
      <x:c r="J2" s="22" t="str">
        <x:v>Physical screening only; check data vintages</x:v>
      </x:c>
    </x:row>
    <x:row r="3">
      <x:c r="A3" s="22" t="str">
        <x:v>DS-002</x:v>
      </x:c>
      <x:c r="B3" s="22" t="str">
        <x:v>FEMA NFHL</x:v>
      </x:c>
      <x:c r="C3" s="22" t="str">
        <x:v>FEMA</x:v>
      </x:c>
      <x:c r="D3" s="22" t="str">
        <x:v>Flood</x:v>
      </x:c>
      <x:c r="E3" s="22" t="str">
        <x:v>Public official</x:v>
      </x:c>
      <x:c r="F3" s="22" t="str">
        <x:v>US</x:v>
      </x:c>
      <x:c r="G3" s="22" t="str">
        <x:v>Must</x:v>
      </x:c>
      <x:c r="H3" s="22" t="str">
        <x:v>https://www.fema.gov/flood-maps/national-flood-hazard-layer</x:v>
      </x:c>
      <x:c r="I3" s="22" t="str">
        <x:v>Flood hazard overlay</x:v>
      </x:c>
      <x:c r="J3" s="22" t="str">
        <x:v>Modernized/effective-map limits; not all flood risk</x:v>
      </x:c>
    </x:row>
    <x:row r="4">
      <x:c r="A4" s="22" t="str">
        <x:v>DS-003</x:v>
      </x:c>
      <x:c r="B4" s="22" t="str">
        <x:v>USDA Web Soil Survey/SSURGO</x:v>
      </x:c>
      <x:c r="C4" s="22" t="str">
        <x:v>USDA NRCS</x:v>
      </x:c>
      <x:c r="D4" s="22" t="str">
        <x:v>Soils</x:v>
      </x:c>
      <x:c r="E4" s="22" t="str">
        <x:v>Public official</x:v>
      </x:c>
      <x:c r="F4" s="22" t="str">
        <x:v>US</x:v>
      </x:c>
      <x:c r="G4" s="22" t="str">
        <x:v>Must</x:v>
      </x:c>
      <x:c r="H4" s="22" t="str">
        <x:v>https://websoilsurvey.nrcs.usda.gov/</x:v>
      </x:c>
      <x:c r="I4" s="22" t="str">
        <x:v>Soil/septic/ag proxy</x:v>
      </x:c>
      <x:c r="J4" s="22" t="str">
        <x:v>Not a substitute for site-specific test</x:v>
      </x:c>
    </x:row>
    <x:row r="5">
      <x:c r="A5" s="22" t="str">
        <x:v>DS-004</x:v>
      </x:c>
      <x:c r="B5" s="22" t="str">
        <x:v>National Wetlands Inventory</x:v>
      </x:c>
      <x:c r="C5" s="22" t="str">
        <x:v>USFWS</x:v>
      </x:c>
      <x:c r="D5" s="22" t="str">
        <x:v>Wetlands</x:v>
      </x:c>
      <x:c r="E5" s="22" t="str">
        <x:v>Public official</x:v>
      </x:c>
      <x:c r="F5" s="22" t="str">
        <x:v>US</x:v>
      </x:c>
      <x:c r="G5" s="22" t="str">
        <x:v>Must</x:v>
      </x:c>
      <x:c r="H5" s="22" t="str">
        <x:v>https://www.fws.gov/program/national-wetlands-inventory</x:v>
      </x:c>
      <x:c r="I5" s="22" t="str">
        <x:v>Wetland/deepwater screening</x:v>
      </x:c>
      <x:c r="J5" s="22" t="str">
        <x:v>Not jurisdictional delineation</x:v>
      </x:c>
    </x:row>
    <x:row r="6">
      <x:c r="A6" s="22" t="str">
        <x:v>DS-005</x:v>
      </x:c>
      <x:c r="B6" s="22" t="str">
        <x:v>USGS Water Data APIs</x:v>
      </x:c>
      <x:c r="C6" s="22" t="str">
        <x:v>USGS</x:v>
      </x:c>
      <x:c r="D6" s="22" t="str">
        <x:v>Water monitoring</x:v>
      </x:c>
      <x:c r="E6" s="22" t="str">
        <x:v>Public official</x:v>
      </x:c>
      <x:c r="F6" s="22" t="str">
        <x:v>US</x:v>
      </x:c>
      <x:c r="G6" s="22" t="str">
        <x:v>Should</x:v>
      </x:c>
      <x:c r="H6" s="22" t="str">
        <x:v>https://api.waterdata.usgs.gov/</x:v>
      </x:c>
      <x:c r="I6" s="22" t="str">
        <x:v>Streamflow/groundwater/water quality context</x:v>
      </x:c>
      <x:c r="J6" s="22" t="str">
        <x:v>Monitoring proximity may be weak proxy</x:v>
      </x:c>
    </x:row>
    <x:row r="7">
      <x:c r="A7" s="22" t="str">
        <x:v>DS-006</x:v>
      </x:c>
      <x:c r="B7" s="22" t="str">
        <x:v>EPA ECHO</x:v>
      </x:c>
      <x:c r="C7" s="22" t="str">
        <x:v>EPA</x:v>
      </x:c>
      <x:c r="D7" s="22" t="str">
        <x:v>Environmental compliance</x:v>
      </x:c>
      <x:c r="E7" s="22" t="str">
        <x:v>Public official</x:v>
      </x:c>
      <x:c r="F7" s="22" t="str">
        <x:v>US</x:v>
      </x:c>
      <x:c r="G7" s="22" t="str">
        <x:v>Should</x:v>
      </x:c>
      <x:c r="H7" s="22" t="str">
        <x:v>https://echo.epa.gov/resources/echo-data/about-the-data</x:v>
      </x:c>
      <x:c r="I7" s="22" t="str">
        <x:v>Regulated facilities/violations/enforcement</x:v>
      </x:c>
      <x:c r="J7" s="22" t="str">
        <x:v>Nearby facility does not prove subject contamination</x:v>
      </x:c>
    </x:row>
    <x:row r="8">
      <x:c r="A8" s="22" t="str">
        <x:v>DS-007</x:v>
      </x:c>
      <x:c r="B8" s="22" t="str">
        <x:v>BLM MLRS</x:v>
      </x:c>
      <x:c r="C8" s="22" t="str">
        <x:v>BLM</x:v>
      </x:c>
      <x:c r="D8" s="22" t="str">
        <x:v>Mineral/land records</x:v>
      </x:c>
      <x:c r="E8" s="22" t="str">
        <x:v>Public official</x:v>
      </x:c>
      <x:c r="F8" s="22" t="str">
        <x:v>Federal lands/US</x:v>
      </x:c>
      <x:c r="G8" s="22" t="str">
        <x:v>Later</x:v>
      </x:c>
      <x:c r="H8" s="22" t="str">
        <x:v>https://www.blm.gov/services/land-records/mlrs</x:v>
      </x:c>
      <x:c r="I8" s="22" t="str">
        <x:v>Mining claims/public land records</x:v>
      </x:c>
      <x:c r="J8" s="22" t="str">
        <x:v>Does not resolve private mineral rights</x:v>
      </x:c>
    </x:row>
    <x:row r="9">
      <x:c r="A9" s="22" t="str">
        <x:v>DS-008</x:v>
      </x:c>
      <x:c r="B9" s="22" t="str">
        <x:v>USGS MRDS</x:v>
      </x:c>
      <x:c r="C9" s="22" t="str">
        <x:v>USGS</x:v>
      </x:c>
      <x:c r="D9" s="22" t="str">
        <x:v>Minerals</x:v>
      </x:c>
      <x:c r="E9" s="22" t="str">
        <x:v>Public/stale official</x:v>
      </x:c>
      <x:c r="F9" s="22" t="str">
        <x:v>US/global selected</x:v>
      </x:c>
      <x:c r="G9" s="22" t="str">
        <x:v>Later</x:v>
      </x:c>
      <x:c r="H9" s="22" t="str">
        <x:v>https://mrdata.usgs.gov/mrds/</x:v>
      </x:c>
      <x:c r="I9" s="22" t="str">
        <x:v>Mineral occurrence screening</x:v>
      </x:c>
      <x:c r="J9" s="22" t="str">
        <x:v>Systematic updates ceased; treat as historical screening</x:v>
      </x:c>
    </x:row>
    <x:row r="10">
      <x:c r="A10" s="22" t="str">
        <x:v>DS-009</x:v>
      </x:c>
      <x:c r="B10" s="22" t="str">
        <x:v>National Zoning Atlas</x:v>
      </x:c>
      <x:c r="C10" s="22" t="str">
        <x:v>NZA</x:v>
      </x:c>
      <x:c r="D10" s="22" t="str">
        <x:v>Zoning</x:v>
      </x:c>
      <x:c r="E10" s="22" t="str">
        <x:v>Nonprofit/open where available</x:v>
      </x:c>
      <x:c r="F10" s="22" t="str">
        <x:v>US partial</x:v>
      </x:c>
      <x:c r="G10" s="22" t="str">
        <x:v>Could</x:v>
      </x:c>
      <x:c r="H10" s="22" t="str">
        <x:v>https://www.zoningatlas.org/</x:v>
      </x:c>
      <x:c r="I10" s="22" t="str">
        <x:v>Zoning baseline where available</x:v>
      </x:c>
      <x:c r="J10" s="22" t="str">
        <x:v>Coverage incomplete</x:v>
      </x:c>
    </x:row>
    <x:row r="11">
      <x:c r="A11" s="22" t="str">
        <x:v>DS-010</x:v>
      </x:c>
      <x:c r="B11" s="22" t="str">
        <x:v>County GIS parcels</x:v>
      </x:c>
      <x:c r="C11" s="22" t="str">
        <x:v>County</x:v>
      </x:c>
      <x:c r="D11" s="22" t="str">
        <x:v>Parcels</x:v>
      </x:c>
      <x:c r="E11" s="22" t="str">
        <x:v>Local official/varies</x:v>
      </x:c>
      <x:c r="F11" s="22" t="str">
        <x:v>County</x:v>
      </x:c>
      <x:c r="G11" s="22" t="str">
        <x:v>Must</x:v>
      </x:c>
      <x:c r="H11" s="22" t="str">
        <x:v>Varies</x:v>
      </x:c>
      <x:c r="I11" s="22" t="str">
        <x:v>Parcel geometry and local attributes</x:v>
      </x:c>
      <x:c r="J11" s="22" t="str">
        <x:v>Approximate; not survey</x:v>
      </x:c>
    </x:row>
    <x:row r="12">
      <x:c r="A12" s="22" t="str">
        <x:v>DS-011</x:v>
      </x:c>
      <x:c r="B12" s="22" t="str">
        <x:v>County assessor</x:v>
      </x:c>
      <x:c r="C12" s="22" t="str">
        <x:v>County</x:v>
      </x:c>
      <x:c r="D12" s="22" t="str">
        <x:v>Assessor/tax</x:v>
      </x:c>
      <x:c r="E12" s="22" t="str">
        <x:v>Local official</x:v>
      </x:c>
      <x:c r="F12" s="22" t="str">
        <x:v>County</x:v>
      </x:c>
      <x:c r="G12" s="22" t="str">
        <x:v>Must</x:v>
      </x:c>
      <x:c r="H12" s="22" t="str">
        <x:v>Varies</x:v>
      </x:c>
      <x:c r="I12" s="22" t="str">
        <x:v>Assessed value, tax year, situs</x:v>
      </x:c>
      <x:c r="J12" s="22" t="str">
        <x:v>Schema/access varies</x:v>
      </x:c>
    </x:row>
    <x:row r="13">
      <x:c r="A13" s="22" t="str">
        <x:v>DS-012</x:v>
      </x:c>
      <x:c r="B13" s="22" t="str">
        <x:v>County recorder</x:v>
      </x:c>
      <x:c r="C13" s="22" t="str">
        <x:v>County</x:v>
      </x:c>
      <x:c r="D13" s="22" t="str">
        <x:v>Deeds/easements</x:v>
      </x:c>
      <x:c r="E13" s="22" t="str">
        <x:v>Local official</x:v>
      </x:c>
      <x:c r="F13" s="22" t="str">
        <x:v>County</x:v>
      </x:c>
      <x:c r="G13" s="22" t="str">
        <x:v>Should</x:v>
      </x:c>
      <x:c r="H13" s="22" t="str">
        <x:v>Varies</x:v>
      </x:c>
      <x:c r="I13" s="22" t="str">
        <x:v>Recorded documents, easements, covenants</x:v>
      </x:c>
      <x:c r="J13" s="22" t="str">
        <x:v>Often manual/search-limited</x:v>
      </x:c>
    </x:row>
    <x:row r="14">
      <x:c r="A14" s="22" t="str">
        <x:v>DS-013</x:v>
      </x:c>
      <x:c r="B14" s="22" t="str">
        <x:v>State well logs</x:v>
      </x:c>
      <x:c r="C14" s="22" t="str">
        <x:v>State agency</x:v>
      </x:c>
      <x:c r="D14" s="22" t="str">
        <x:v>Water/wells</x:v>
      </x:c>
      <x:c r="E14" s="22" t="str">
        <x:v>State official</x:v>
      </x:c>
      <x:c r="F14" s="22" t="str">
        <x:v>State</x:v>
      </x:c>
      <x:c r="G14" s="22" t="str">
        <x:v>Should</x:v>
      </x:c>
      <x:c r="H14" s="22" t="str">
        <x:v>Varies</x:v>
      </x:c>
      <x:c r="I14" s="22" t="str">
        <x:v>Nearby well context</x:v>
      </x:c>
      <x:c r="J14" s="22" t="str">
        <x:v>May not prove viability</x:v>
      </x:c>
    </x:row>
    <x:row r="15">
      <x:c r="A15" s="22" t="str">
        <x:v>DS-014</x:v>
      </x:c>
      <x:c r="B15" s="22" t="str">
        <x:v>State water rights</x:v>
      </x:c>
      <x:c r="C15" s="22" t="str">
        <x:v>State agency</x:v>
      </x:c>
      <x:c r="D15" s="22" t="str">
        <x:v>Water rights</x:v>
      </x:c>
      <x:c r="E15" s="22" t="str">
        <x:v>State official</x:v>
      </x:c>
      <x:c r="F15" s="22" t="str">
        <x:v>State</x:v>
      </x:c>
      <x:c r="G15" s="22" t="str">
        <x:v>Later</x:v>
      </x:c>
      <x:c r="H15" s="22" t="str">
        <x:v>Varies</x:v>
      </x:c>
      <x:c r="I15" s="22" t="str">
        <x:v>Legal water-use screening</x:v>
      </x:c>
      <x:c r="J15" s="22" t="str">
        <x:v>Complex and jurisdiction-specific</x:v>
      </x:c>
    </x:row>
    <x:row r="16">
      <x:c r="A16" s="22" t="str">
        <x:v>DS-015</x:v>
      </x:c>
      <x:c r="B16" s="22" t="str">
        <x:v>State geological survey</x:v>
      </x:c>
      <x:c r="C16" s="22" t="str">
        <x:v>State agency</x:v>
      </x:c>
      <x:c r="D16" s="22" t="str">
        <x:v>Geology/minerals</x:v>
      </x:c>
      <x:c r="E16" s="22" t="str">
        <x:v>State official</x:v>
      </x:c>
      <x:c r="F16" s="22" t="str">
        <x:v>State</x:v>
      </x:c>
      <x:c r="G16" s="22" t="str">
        <x:v>Later</x:v>
      </x:c>
      <x:c r="H16" s="22" t="str">
        <x:v>Varies</x:v>
      </x:c>
      <x:c r="I16" s="22" t="str">
        <x:v>Geologic hazards/resources</x:v>
      </x:c>
      <x:c r="J16" s="22" t="str">
        <x:v>Varies by state</x:v>
      </x:c>
    </x:row>
    <x:row r="17">
      <x:c r="A17" s="22" t="str">
        <x:v>DS-016</x:v>
      </x:c>
      <x:c r="B17" s="22" t="str">
        <x:v>OpenStreetMap/Overture</x:v>
      </x:c>
      <x:c r="C17" s="22" t="str">
        <x:v>OSM/Overture</x:v>
      </x:c>
      <x:c r="D17" s="22" t="str">
        <x:v>Roads/buildings/base map</x:v>
      </x:c>
      <x:c r="E17" s="22" t="str">
        <x:v>Open community/open data</x:v>
      </x:c>
      <x:c r="F17" s="22" t="str">
        <x:v>Global</x:v>
      </x:c>
      <x:c r="G17" s="22" t="str">
        <x:v>Should</x:v>
      </x:c>
      <x:c r="H17" s="22" t="str">
        <x:v>https://www.openstreetmap.org/</x:v>
      </x:c>
      <x:c r="I17" s="22" t="str">
        <x:v>Access/infrastructure proxy</x:v>
      </x:c>
      <x:c r="J17" s="22" t="str">
        <x:v>Not authoritative for legal access</x:v>
      </x:c>
    </x:row>
    <x:row r="18">
      <x:c r="A18" s="22" t="str">
        <x:v>DS-017</x:v>
      </x:c>
      <x:c r="B18" s="22" t="str">
        <x:v>Commercial parcel vendor</x:v>
      </x:c>
      <x:c r="C18" s="22" t="str">
        <x:v>Vendor</x:v>
      </x:c>
      <x:c r="D18" s="22" t="str">
        <x:v>Parcels/ownership</x:v>
      </x:c>
      <x:c r="E18" s="22" t="str">
        <x:v>Commercial</x:v>
      </x:c>
      <x:c r="F18" s="22" t="str">
        <x:v>US/Canada or broader</x:v>
      </x:c>
      <x:c r="G18" s="22" t="str">
        <x:v>Must</x:v>
      </x:c>
      <x:c r="H18" s="22" t="str">
        <x:v>TBD</x:v>
      </x:c>
      <x:c r="I18" s="22" t="str">
        <x:v>Normalized parcel/ownership data</x:v>
      </x:c>
      <x:c r="J18" s="22" t="str">
        <x:v>License/cost blocker</x:v>
      </x:c>
    </x:row>
    <x:row r="19">
      <x:c r="A19" s="22" t="str">
        <x:v>DS-018</x:v>
      </x:c>
      <x:c r="B19" s="22" t="str">
        <x:v>Commercial comps/listings vendor</x:v>
      </x:c>
      <x:c r="C19" s="22" t="str">
        <x:v>Vendor</x:v>
      </x:c>
      <x:c r="D19" s="22" t="str">
        <x:v>Market</x:v>
      </x:c>
      <x:c r="E19" s="22" t="str">
        <x:v>Commercial</x:v>
      </x:c>
      <x:c r="F19" s="22" t="str">
        <x:v>Varies</x:v>
      </x:c>
      <x:c r="G19" s="22" t="str">
        <x:v>Should</x:v>
      </x:c>
      <x:c r="H19" s="22" t="str">
        <x:v>TBD</x:v>
      </x:c>
      <x:c r="I19" s="22" t="str">
        <x:v>Market context</x:v>
      </x:c>
      <x:c r="J19" s="22" t="str">
        <x:v>License/cost/export blocker</x:v>
      </x:c>
    </x:row>
    <x:row r="20">
      <x:c r="A20" s="22" t="str">
        <x:v>DS-019</x:v>
      </x:c>
      <x:c r="B20" s="22" t="str">
        <x:v>Commercial zoning vendor</x:v>
      </x:c>
      <x:c r="C20" s="22" t="str">
        <x:v>Vendor</x:v>
      </x:c>
      <x:c r="D20" s="22" t="str">
        <x:v>Zoning</x:v>
      </x:c>
      <x:c r="E20" s="22" t="str">
        <x:v>Commercial</x:v>
      </x:c>
      <x:c r="F20" s="22" t="str">
        <x:v>Varies</x:v>
      </x:c>
      <x:c r="G20" s="22" t="str">
        <x:v>Could</x:v>
      </x:c>
      <x:c r="H20" s="22" t="str">
        <x:v>TBD</x:v>
      </x:c>
      <x:c r="I20" s="22" t="str">
        <x:v>Normalized zoning/allowed uses</x:v>
      </x:c>
      <x:c r="J20" s="22" t="str">
        <x:v>Must verify with official local sources</x:v>
      </x:c>
    </x:row>
    <x:row r="21">
      <x:c r="A21" s="22" t="str">
        <x:v>DS-020</x:v>
      </x:c>
      <x:c r="B21" s="22" t="str">
        <x:v>NOAA climate/weather</x:v>
      </x:c>
      <x:c r="C21" s="22" t="str">
        <x:v>NOAA</x:v>
      </x:c>
      <x:c r="D21" s="22" t="str">
        <x:v>Climate/weather</x:v>
      </x:c>
      <x:c r="E21" s="22" t="str">
        <x:v>Public official</x:v>
      </x:c>
      <x:c r="F21" s="22" t="str">
        <x:v>US</x:v>
      </x:c>
      <x:c r="G21" s="22" t="str">
        <x:v>Later</x:v>
      </x:c>
      <x:c r="H21" s="22" t="str">
        <x:v>https://www.noaa.gov/</x:v>
      </x:c>
      <x:c r="I21" s="22" t="str">
        <x:v>Climate history/context</x:v>
      </x:c>
      <x:c r="J21" s="22" t="str">
        <x:v>Not full forward-looking parcel risk</x:v>
      </x:c>
    </x:row>
    <x:row r="22">
      <x:c r="A22" s="22" t="str">
        <x:v>DS-021</x:v>
      </x:c>
      <x:c r="B22" s="22" t="str">
        <x:v>FCC Broadband Map</x:v>
      </x:c>
      <x:c r="C22" s="22" t="str">
        <x:v>FCC</x:v>
      </x:c>
      <x:c r="D22" s="22" t="str">
        <x:v>Broadband</x:v>
      </x:c>
      <x:c r="E22" s="22" t="str">
        <x:v>Public official</x:v>
      </x:c>
      <x:c r="F22" s="22" t="str">
        <x:v>US</x:v>
      </x:c>
      <x:c r="G22" s="22" t="str">
        <x:v>Could</x:v>
      </x:c>
      <x:c r="H22" s="22" t="str">
        <x:v>https://broadbandmap.fcc.gov/</x:v>
      </x:c>
      <x:c r="I22" s="22" t="str">
        <x:v>Broadband availability proxy</x:v>
      </x:c>
      <x:c r="J22" s="22" t="str">
        <x:v>Coverage/provider claims may need verification</x:v>
      </x:c>
    </x:row>
    <x:row r="23">
      <x:c r="A23" s="22" t="str">
        <x:v>DS-022</x:v>
      </x:c>
      <x:c r="B23" s="22" t="str">
        <x:v>Census TIGER/ACS</x:v>
      </x:c>
      <x:c r="C23" s="22" t="str">
        <x:v>Census</x:v>
      </x:c>
      <x:c r="D23" s="22" t="str">
        <x:v>Boundaries/demographics</x:v>
      </x:c>
      <x:c r="E23" s="22" t="str">
        <x:v>Public official</x:v>
      </x:c>
      <x:c r="F23" s="22" t="str">
        <x:v>US</x:v>
      </x:c>
      <x:c r="G23" s="22" t="str">
        <x:v>Later</x:v>
      </x:c>
      <x:c r="H23" s="22" t="str">
        <x:v>https://www.census.gov/</x:v>
      </x:c>
      <x:c r="I23" s="22" t="str">
        <x:v>Admin boundaries; avoid protected-class scoring</x:v>
      </x:c>
      <x:c r="J23" s="22" t="str">
        <x:v>Fair housing care</x:v>
      </x:c>
    </x:row>
    <x:row r="24">
      <x:c r="A24" s="22" t="str">
        <x:v>DS-023</x:v>
      </x:c>
      <x:c r="B24" s="22" t="str">
        <x:v>Local zoning ordinance PDFs</x:v>
      </x:c>
      <x:c r="C24" s="22" t="str">
        <x:v>County/municipality</x:v>
      </x:c>
      <x:c r="D24" s="22" t="str">
        <x:v>Zoning/legal text</x:v>
      </x:c>
      <x:c r="E24" s="22" t="str">
        <x:v>Local official</x:v>
      </x:c>
      <x:c r="F24" s="22" t="str">
        <x:v>Local</x:v>
      </x:c>
      <x:c r="G24" s="22" t="str">
        <x:v>Must</x:v>
      </x:c>
      <x:c r="H24" s="22" t="str">
        <x:v>Varies</x:v>
      </x:c>
      <x:c r="I24" s="22" t="str">
        <x:v>Allowed use/minimum lot size/overlays</x:v>
      </x:c>
      <x:c r="J24" s="22" t="str">
        <x:v>Hard to parse; source/date caveats</x:v>
      </x:c>
    </x:row>
    <x:row r="25">
      <x:c r="A25" s="22" t="str">
        <x:v>DS-024</x:v>
      </x:c>
      <x:c r="B25" s="22" t="str">
        <x:v>Title company/manual report</x:v>
      </x:c>
      <x:c r="C25" s="22" t="str">
        <x:v>Title company</x:v>
      </x:c>
      <x:c r="D25" s="22" t="str">
        <x:v>Title/access/easements</x:v>
      </x:c>
      <x:c r="E25" s="22" t="str">
        <x:v>Professional/manual</x:v>
      </x:c>
      <x:c r="F25" s="22" t="str">
        <x:v>Parcel</x:v>
      </x:c>
      <x:c r="G25" s="22" t="str">
        <x:v>Later</x:v>
      </x:c>
      <x:c r="H25" s="22" t="str">
        <x:v>TBD</x:v>
      </x:c>
      <x:c r="I25" s="22" t="str">
        <x:v>Verification input</x:v>
      </x:c>
      <x:c r="J25" s="22" t="str">
        <x:v>External professional source</x:v>
      </x:c>
    </x:row>
    <x:row r="26">
      <x:c r="A26" s="22" t="str">
        <x:v>DS-025</x:v>
      </x:c>
      <x:c r="B26" s="22" t="str">
        <x:v>Surveyor/manual report</x:v>
      </x:c>
      <x:c r="C26" s="22" t="str">
        <x:v>Licensed surveyor</x:v>
      </x:c>
      <x:c r="D26" s="22" t="str">
        <x:v>Boundary</x:v>
      </x:c>
      <x:c r="E26" s="22" t="str">
        <x:v>Professional/manual</x:v>
      </x:c>
      <x:c r="F26" s="22" t="str">
        <x:v>Parcel</x:v>
      </x:c>
      <x:c r="G26" s="22" t="str">
        <x:v>Later</x:v>
      </x:c>
      <x:c r="H26" s="22" t="str">
        <x:v>TBD</x:v>
      </x:c>
      <x:c r="I26" s="22" t="str">
        <x:v>Boundary verification</x:v>
      </x:c>
      <x:c r="J26" s="22" t="str">
        <x:v>External professional source</x:v>
      </x:c>
    </x:row>
  </x:sheetData>
  <x:pageMargins left="0.7" right="0.7" top="0.75" bottom="0.75" header="0.3" footer="0.3"/>
  <x:tableParts count="1">
    <x:tablePart xmlns:r="http://schemas.openxmlformats.org/officeDocument/2006/relationships" r:id="R69fec251d28747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17" t="str">
        <x:v>Epic</x:v>
      </x:c>
      <x:c r="B1" s="17" t="str">
        <x:v>Backlog ID</x:v>
      </x:c>
      <x:c r="C1" s="17" t="str">
        <x:v>Item</x:v>
      </x:c>
      <x:c r="D1" s="17" t="str">
        <x:v>Owner</x:v>
      </x:c>
      <x:c r="E1" s="17" t="str">
        <x:v>Priority</x:v>
      </x:c>
      <x:c r="F1" s="17" t="str">
        <x:v>Phase</x:v>
      </x:c>
      <x:c r="G1" s="17" t="str">
        <x:v>Dependencies</x:v>
      </x:c>
      <x:c r="H1" s="17" t="str">
        <x:v>Acceptance Criteria</x:v>
      </x:c>
    </x:row>
    <x:row r="2">
      <x:c r="A2" s="22" t="str">
        <x:v>E01</x:v>
      </x:c>
      <x:c r="B2" s="22" t="str">
        <x:v>B-001</x:v>
      </x:c>
      <x:c r="C2" s="22" t="str">
        <x:v>Create source registry schema</x:v>
      </x:c>
      <x:c r="D2" s="22" t="str">
        <x:v>Backend/Data</x:v>
      </x:c>
      <x:c r="E2" s="22" t="str">
        <x:v>Must</x:v>
      </x:c>
      <x:c r="F2" s="22" t="str">
        <x:v>Phase 1</x:v>
      </x:c>
      <x:c r="G2" s="22" t="str">
        <x:v>None</x:v>
      </x:c>
      <x:c r="H2" s="22" t="str">
        <x:v>Source tables created and seed loaded</x:v>
      </x:c>
    </x:row>
    <x:row r="3">
      <x:c r="A3" s="22" t="str">
        <x:v>E02</x:v>
      </x:c>
      <x:c r="B3" s="22" t="str">
        <x:v>B-002</x:v>
      </x:c>
      <x:c r="C3" s="22" t="str">
        <x:v>Create Postgres/PostGIS core schema</x:v>
      </x:c>
      <x:c r="D3" s="22" t="str">
        <x:v>Backend</x:v>
      </x:c>
      <x:c r="E3" s="22" t="str">
        <x:v>Must</x:v>
      </x:c>
      <x:c r="F3" s="22" t="str">
        <x:v>Phase 1</x:v>
      </x:c>
      <x:c r="G3" s="22" t="str">
        <x:v>None</x:v>
      </x:c>
      <x:c r="H3" s="22" t="str">
        <x:v>DDL runs in dev DB</x:v>
      </x:c>
    </x:row>
    <x:row r="4">
      <x:c r="A4" s="22" t="str">
        <x:v>E03</x:v>
      </x:c>
      <x:c r="B4" s="22" t="str">
        <x:v>B-003</x:v>
      </x:c>
      <x:c r="C4" s="22" t="str">
        <x:v>Implement area geometry validation</x:v>
      </x:c>
      <x:c r="D4" s="22" t="str">
        <x:v>Geo Eng</x:v>
      </x:c>
      <x:c r="E4" s="22" t="str">
        <x:v>Must</x:v>
      </x:c>
      <x:c r="F4" s="22" t="str">
        <x:v>Phase 1</x:v>
      </x:c>
      <x:c r="G4" s="22" t="str">
        <x:v>B-002</x:v>
      </x:c>
      <x:c r="H4" s="22" t="str">
        <x:v>Invalid geometry rejected or repaired with audit</x:v>
      </x:c>
    </x:row>
    <x:row r="5">
      <x:c r="A5" s="22" t="str">
        <x:v>E01</x:v>
      </x:c>
      <x:c r="B5" s="22" t="str">
        <x:v>B-004</x:v>
      </x:c>
      <x:c r="C5" s="22" t="str">
        <x:v>Seed public source registry</x:v>
      </x:c>
      <x:c r="D5" s="22" t="str">
        <x:v>Data</x:v>
      </x:c>
      <x:c r="E5" s="22" t="str">
        <x:v>Must</x:v>
      </x:c>
      <x:c r="F5" s="22" t="str">
        <x:v>Phase 1</x:v>
      </x:c>
      <x:c r="G5" s="22" t="str">
        <x:v>B-001</x:v>
      </x:c>
      <x:c r="H5" s="22" t="str">
        <x:v>USGS/FEMA/USDA/USFWS/EPA/BLM sources present</x:v>
      </x:c>
    </x:row>
    <x:row r="6">
      <x:c r="A6" s="22" t="str">
        <x:v>E04</x:v>
      </x:c>
      <x:c r="B6" s="22" t="str">
        <x:v>B-005</x:v>
      </x:c>
      <x:c r="C6" s="22" t="str">
        <x:v>Build parcel ingestion adapter for target counties</x:v>
      </x:c>
      <x:c r="D6" s="22" t="str">
        <x:v>Data</x:v>
      </x:c>
      <x:c r="E6" s="22" t="str">
        <x:v>Must</x:v>
      </x:c>
      <x:c r="F6" s="22" t="str">
        <x:v>Phase 2</x:v>
      </x:c>
      <x:c r="G6" s="22" t="str">
        <x:v>B-002</x:v>
      </x:c>
      <x:c r="H6" s="22" t="str">
        <x:v>Target county parcels loaded with lineage</x:v>
      </x:c>
    </x:row>
    <x:row r="7">
      <x:c r="A7" s="22" t="str">
        <x:v>E04</x:v>
      </x:c>
      <x:c r="B7" s="22" t="str">
        <x:v>B-006</x:v>
      </x:c>
      <x:c r="C7" s="22" t="str">
        <x:v>Build FEMA NFHL ingestion/overlay</x:v>
      </x:c>
      <x:c r="D7" s="22" t="str">
        <x:v>Geo Eng</x:v>
      </x:c>
      <x:c r="E7" s="22" t="str">
        <x:v>Must</x:v>
      </x:c>
      <x:c r="F7" s="22" t="str">
        <x:v>Phase 2</x:v>
      </x:c>
      <x:c r="G7" s="22" t="str">
        <x:v>B-002</x:v>
      </x:c>
      <x:c r="H7" s="22" t="str">
        <x:v>Flood intersection evidence created</x:v>
      </x:c>
    </x:row>
    <x:row r="8">
      <x:c r="A8" s="22" t="str">
        <x:v>E04</x:v>
      </x:c>
      <x:c r="B8" s="22" t="str">
        <x:v>B-007</x:v>
      </x:c>
      <x:c r="C8" s="22" t="str">
        <x:v>Build NWI ingestion/overlay</x:v>
      </x:c>
      <x:c r="D8" s="22" t="str">
        <x:v>Geo Eng</x:v>
      </x:c>
      <x:c r="E8" s="22" t="str">
        <x:v>Must</x:v>
      </x:c>
      <x:c r="F8" s="22" t="str">
        <x:v>Phase 2</x:v>
      </x:c>
      <x:c r="G8" s="22" t="str">
        <x:v>B-002</x:v>
      </x:c>
      <x:c r="H8" s="22" t="str">
        <x:v>Wetland intersection evidence created</x:v>
      </x:c>
    </x:row>
    <x:row r="9">
      <x:c r="A9" s="22" t="str">
        <x:v>E04</x:v>
      </x:c>
      <x:c r="B9" s="22" t="str">
        <x:v>B-008</x:v>
      </x:c>
      <x:c r="C9" s="22" t="str">
        <x:v>Build soils ingestion/lookup</x:v>
      </x:c>
      <x:c r="D9" s="22" t="str">
        <x:v>Geo Eng/Data</x:v>
      </x:c>
      <x:c r="E9" s="22" t="str">
        <x:v>Must</x:v>
      </x:c>
      <x:c r="F9" s="22" t="str">
        <x:v>Phase 2</x:v>
      </x:c>
      <x:c r="G9" s="22" t="str">
        <x:v>B-002</x:v>
      </x:c>
      <x:c r="H9" s="22" t="str">
        <x:v>Soil evidence created</x:v>
      </x:c>
    </x:row>
    <x:row r="10">
      <x:c r="A10" s="22" t="str">
        <x:v>E04</x:v>
      </x:c>
      <x:c r="B10" s="22" t="str">
        <x:v>B-009</x:v>
      </x:c>
      <x:c r="C10" s="22" t="str">
        <x:v>Build elevation/slope pipeline</x:v>
      </x:c>
      <x:c r="D10" s="22" t="str">
        <x:v>Geo Eng</x:v>
      </x:c>
      <x:c r="E10" s="22" t="str">
        <x:v>Must</x:v>
      </x:c>
      <x:c r="F10" s="22" t="str">
        <x:v>Phase 2</x:v>
      </x:c>
      <x:c r="G10" s="22" t="str">
        <x:v>B-002</x:v>
      </x:c>
      <x:c r="H10" s="22" t="str">
        <x:v>Slope metrics created</x:v>
      </x:c>
    </x:row>
    <x:row r="11">
      <x:c r="A11" s="22" t="str">
        <x:v>E04</x:v>
      </x:c>
      <x:c r="B11" s="22" t="str">
        <x:v>B-010</x:v>
      </x:c>
      <x:c r="C11" s="22" t="str">
        <x:v>Build EPA ECHO proximity adapter</x:v>
      </x:c>
      <x:c r="D11" s="22" t="str">
        <x:v>Data</x:v>
      </x:c>
      <x:c r="E11" s="22" t="str">
        <x:v>Should</x:v>
      </x:c>
      <x:c r="F11" s="22" t="str">
        <x:v>Phase 2</x:v>
      </x:c>
      <x:c r="G11" s="22" t="str">
        <x:v>B-002</x:v>
      </x:c>
      <x:c r="H11" s="22" t="str">
        <x:v>Nearest regulated facilities evidence created</x:v>
      </x:c>
    </x:row>
    <x:row r="12">
      <x:c r="A12" s="22" t="str">
        <x:v>E05</x:v>
      </x:c>
      <x:c r="B12" s="22" t="str">
        <x:v>B-011</x:v>
      </x:c>
      <x:c r="C12" s="22" t="str">
        <x:v>Implement feature extraction job runner</x:v>
      </x:c>
      <x:c r="D12" s="22" t="str">
        <x:v>Backend/Geo</x:v>
      </x:c>
      <x:c r="E12" s="22" t="str">
        <x:v>Must</x:v>
      </x:c>
      <x:c r="F12" s="22" t="str">
        <x:v>Phase 3</x:v>
      </x:c>
      <x:c r="G12" s="22" t="str">
        <x:v>B-003</x:v>
      </x:c>
      <x:c r="H12" s="22" t="str">
        <x:v>Async feature jobs complete and log costs</x:v>
      </x:c>
    </x:row>
    <x:row r="13">
      <x:c r="A13" s="22" t="str">
        <x:v>E06</x:v>
      </x:c>
      <x:c r="B13" s="22" t="str">
        <x:v>B-012</x:v>
      </x:c>
      <x:c r="C13" s="22" t="str">
        <x:v>Implement evidence service</x:v>
      </x:c>
      <x:c r="D13" s="22" t="str">
        <x:v>Backend</x:v>
      </x:c>
      <x:c r="E13" s="22" t="str">
        <x:v>Must</x:v>
      </x:c>
      <x:c r="F13" s="22" t="str">
        <x:v>Phase 3</x:v>
      </x:c>
      <x:c r="G13" s="22" t="str">
        <x:v>B-002</x:v>
      </x:c>
      <x:c r="H13" s="22" t="str">
        <x:v>Evidence records can be created/queried</x:v>
      </x:c>
    </x:row>
    <x:row r="14">
      <x:c r="A14" s="22" t="str">
        <x:v>E06</x:v>
      </x:c>
      <x:c r="B14" s="22" t="str">
        <x:v>B-013</x:v>
      </x:c>
      <x:c r="C14" s="22" t="str">
        <x:v>Implement source failure evidence</x:v>
      </x:c>
      <x:c r="D14" s="22" t="str">
        <x:v>Backend</x:v>
      </x:c>
      <x:c r="E14" s="22" t="str">
        <x:v>Must</x:v>
      </x:c>
      <x:c r="F14" s="22" t="str">
        <x:v>Phase 3</x:v>
      </x:c>
      <x:c r="G14" s="22" t="str">
        <x:v>B-012</x:v>
      </x:c>
      <x:c r="H14" s="22" t="str">
        <x:v>Failed source checks appear as evidence</x:v>
      </x:c>
    </x:row>
    <x:row r="15">
      <x:c r="A15" s="22" t="str">
        <x:v>E07</x:v>
      </x:c>
      <x:c r="B15" s="22" t="str">
        <x:v>B-014</x:v>
      </x:c>
      <x:c r="C15" s="22" t="str">
        <x:v>Implement hard-gate rules engine</x:v>
      </x:c>
      <x:c r="D15" s="22" t="str">
        <x:v>Backend/Product</x:v>
      </x:c>
      <x:c r="E15" s="22" t="str">
        <x:v>Must</x:v>
      </x:c>
      <x:c r="F15" s="22" t="str">
        <x:v>Phase 4</x:v>
      </x:c>
      <x:c r="G15" s="22" t="str">
        <x:v>B-012</x:v>
      </x:c>
      <x:c r="H15" s="22" t="str">
        <x:v>Rules execute on evidence and output gates</x:v>
      </x:c>
    </x:row>
    <x:row r="16">
      <x:c r="A16" s="22" t="str">
        <x:v>E07</x:v>
      </x:c>
      <x:c r="B16" s="22" t="str">
        <x:v>B-015</x:v>
      </x:c>
      <x:c r="C16" s="22" t="str">
        <x:v>Implement confidence bands</x:v>
      </x:c>
      <x:c r="D16" s="22" t="str">
        <x:v>Backend/Product</x:v>
      </x:c>
      <x:c r="E16" s="22" t="str">
        <x:v>Must</x:v>
      </x:c>
      <x:c r="F16" s="22" t="str">
        <x:v>Phase 4</x:v>
      </x:c>
      <x:c r="G16" s="22" t="str">
        <x:v>B-014</x:v>
      </x:c>
      <x:c r="H16" s="22" t="str">
        <x:v>Claims include confidence</x:v>
      </x:c>
    </x:row>
    <x:row r="17">
      <x:c r="A17" s="22" t="str">
        <x:v>E07</x:v>
      </x:c>
      <x:c r="B17" s="22" t="str">
        <x:v>B-016</x:v>
      </x:c>
      <x:c r="C17" s="22" t="str">
        <x:v>Implement red-flag taxonomy v0</x:v>
      </x:c>
      <x:c r="D17" s="22" t="str">
        <x:v>Product</x:v>
      </x:c>
      <x:c r="E17" s="22" t="str">
        <x:v>Must</x:v>
      </x:c>
      <x:c r="F17" s="22" t="str">
        <x:v>Phase 4</x:v>
      </x:c>
      <x:c r="G17" s="22" t="str">
        <x:v>B-014</x:v>
      </x:c>
      <x:c r="H17" s="22" t="str">
        <x:v>Claim codes documented and generated</x:v>
      </x:c>
    </x:row>
    <x:row r="18">
      <x:c r="A18" s="22" t="str">
        <x:v>E07</x:v>
      </x:c>
      <x:c r="B18" s="22" t="str">
        <x:v>B-017</x:v>
      </x:c>
      <x:c r="C18" s="22" t="str">
        <x:v>Implement verification task generator</x:v>
      </x:c>
      <x:c r="D18" s="22" t="str">
        <x:v>Backend/Product</x:v>
      </x:c>
      <x:c r="E18" s="22" t="str">
        <x:v>Must</x:v>
      </x:c>
      <x:c r="F18" s="22" t="str">
        <x:v>Phase 4</x:v>
      </x:c>
      <x:c r="G18" s="22" t="str">
        <x:v>B-014</x:v>
      </x:c>
      <x:c r="H18" s="22" t="str">
        <x:v>High/critical claims create tasks</x:v>
      </x:c>
    </x:row>
    <x:row r="19">
      <x:c r="A19" s="22" t="str">
        <x:v>E08</x:v>
      </x:c>
      <x:c r="B19" s="22" t="str">
        <x:v>B-018</x:v>
      </x:c>
      <x:c r="C19" s="22" t="str">
        <x:v>Build Markdown report compiler</x:v>
      </x:c>
      <x:c r="D19" s="22" t="str">
        <x:v>Backend/Product</x:v>
      </x:c>
      <x:c r="E19" s="22" t="str">
        <x:v>Must</x:v>
      </x:c>
      <x:c r="F19" s="22" t="str">
        <x:v>Phase 5</x:v>
      </x:c>
      <x:c r="G19" s="22" t="str">
        <x:v>B-017</x:v>
      </x:c>
      <x:c r="H19" s="22" t="str">
        <x:v>Report sections generated</x:v>
      </x:c>
    </x:row>
    <x:row r="20">
      <x:c r="A20" s="22" t="str">
        <x:v>E08</x:v>
      </x:c>
      <x:c r="B20" s="22" t="str">
        <x:v>B-019</x:v>
      </x:c>
      <x:c r="C20" s="22" t="str">
        <x:v>Build machine-readable JSON output</x:v>
      </x:c>
      <x:c r="D20" s="22" t="str">
        <x:v>Backend</x:v>
      </x:c>
      <x:c r="E20" s="22" t="str">
        <x:v>Should</x:v>
      </x:c>
      <x:c r="F20" s="22" t="str">
        <x:v>Phase 5</x:v>
      </x:c>
      <x:c r="G20" s="22" t="str">
        <x:v>B-018</x:v>
      </x:c>
      <x:c r="H20" s="22" t="str">
        <x:v>JSON artifact generated and stored</x:v>
      </x:c>
    </x:row>
    <x:row r="21">
      <x:c r="A21" s="22" t="str">
        <x:v>E09</x:v>
      </x:c>
      <x:c r="B21" s="22" t="str">
        <x:v>B-020</x:v>
      </x:c>
      <x:c r="C21" s="22" t="str">
        <x:v>Build reviewer approval workflow</x:v>
      </x:c>
      <x:c r="D21" s="22" t="str">
        <x:v>Backend/Ops</x:v>
      </x:c>
      <x:c r="E21" s="22" t="str">
        <x:v>Must</x:v>
      </x:c>
      <x:c r="F21" s="22" t="str">
        <x:v>Phase 5</x:v>
      </x:c>
      <x:c r="G21" s="22" t="str">
        <x:v>B-018</x:v>
      </x:c>
      <x:c r="H21" s="22" t="str">
        <x:v>Reports need approval before delivery</x:v>
      </x:c>
    </x:row>
    <x:row r="22">
      <x:c r="A22" s="22" t="str">
        <x:v>E13</x:v>
      </x:c>
      <x:c r="B22" s="22" t="str">
        <x:v>B-021</x:v>
      </x:c>
      <x:c r="C22" s="22" t="str">
        <x:v>Create golden parcel test set</x:v>
      </x:c>
      <x:c r="D22" s="22" t="str">
        <x:v>QA/Product</x:v>
      </x:c>
      <x:c r="E22" s="22" t="str">
        <x:v>Must</x:v>
      </x:c>
      <x:c r="F22" s="22" t="str">
        <x:v>Phase 3</x:v>
      </x:c>
      <x:c r="G22" s="22" t="str">
        <x:v>B-005</x:v>
      </x:c>
      <x:c r="H22" s="22" t="str">
        <x:v>Regression parcels documented</x:v>
      </x:c>
    </x:row>
    <x:row r="23">
      <x:c r="A23" s="22" t="str">
        <x:v>E13</x:v>
      </x:c>
      <x:c r="B23" s="22" t="str">
        <x:v>B-022</x:v>
      </x:c>
      <x:c r="C23" s="22" t="str">
        <x:v>Safe-language linting</x:v>
      </x:c>
      <x:c r="D23" s="22" t="str">
        <x:v>QA/Legal</x:v>
      </x:c>
      <x:c r="E23" s="22" t="str">
        <x:v>Must</x:v>
      </x:c>
      <x:c r="F23" s="22" t="str">
        <x:v>Phase 4</x:v>
      </x:c>
      <x:c r="G23" s="22" t="str">
        <x:v>B-018</x:v>
      </x:c>
      <x:c r="H23" s="22" t="str">
        <x:v>Forbidden wording detected</x:v>
      </x:c>
    </x:row>
    <x:row r="24">
      <x:c r="A24" s="22" t="str">
        <x:v>E12</x:v>
      </x:c>
      <x:c r="B24" s="22" t="str">
        <x:v>B-023</x:v>
      </x:c>
      <x:c r="C24" s="22" t="str">
        <x:v>Implement entitlement checks</x:v>
      </x:c>
      <x:c r="D24" s="22" t="str">
        <x:v>Backend/Legal</x:v>
      </x:c>
      <x:c r="E24" s="22" t="str">
        <x:v>Must</x:v>
      </x:c>
      <x:c r="F24" s="22" t="str">
        <x:v>Phase 5</x:v>
      </x:c>
      <x:c r="G24" s="22" t="str">
        <x:v>B-001</x:v>
      </x:c>
      <x:c r="H24" s="22" t="str">
        <x:v>Restricted data cannot be exported</x:v>
      </x:c>
    </x:row>
    <x:row r="25">
      <x:c r="A25" s="22" t="str">
        <x:v>E10</x:v>
      </x:c>
      <x:c r="B25" s="22" t="str">
        <x:v>B-024</x:v>
      </x:c>
      <x:c r="C25" s="22" t="str">
        <x:v>Implement report API endpoints</x:v>
      </x:c>
      <x:c r="D25" s="22" t="str">
        <x:v>Backend</x:v>
      </x:c>
      <x:c r="E25" s="22" t="str">
        <x:v>Should</x:v>
      </x:c>
      <x:c r="F25" s="22" t="str">
        <x:v>Phase 6</x:v>
      </x:c>
      <x:c r="G25" s="22" t="str">
        <x:v>B-018</x:v>
      </x:c>
      <x:c r="H25" s="22" t="str">
        <x:v>POST/GET reports working</x:v>
      </x:c>
    </x:row>
    <x:row r="26">
      <x:c r="A26" s="22" t="str">
        <x:v>E11</x:v>
      </x:c>
      <x:c r="B26" s="22" t="str">
        <x:v>B-025</x:v>
      </x:c>
      <x:c r="C26" s="22" t="str">
        <x:v>Build minimal report dashboard</x:v>
      </x:c>
      <x:c r="D26" s="22" t="str">
        <x:v>Frontend</x:v>
      </x:c>
      <x:c r="E26" s="22" t="str">
        <x:v>Could</x:v>
      </x:c>
      <x:c r="F26" s="22" t="str">
        <x:v>Phase 7</x:v>
      </x:c>
      <x:c r="G26" s="22" t="str">
        <x:v>B-024</x:v>
      </x:c>
      <x:c r="H26" s="22" t="str">
        <x:v>User can view reports</x:v>
      </x:c>
    </x:row>
    <x:row r="27">
      <x:c r="A27" s="22" t="str">
        <x:v>E11</x:v>
      </x:c>
      <x:c r="B27" s="22" t="str">
        <x:v>B-026</x:v>
      </x:c>
      <x:c r="C27" s="22" t="str">
        <x:v>Build map asset viewer</x:v>
      </x:c>
      <x:c r="D27" s="22" t="str">
        <x:v>Frontend/Geo</x:v>
      </x:c>
      <x:c r="E27" s="22" t="str">
        <x:v>Could</x:v>
      </x:c>
      <x:c r="F27" s="22" t="str">
        <x:v>Phase 7</x:v>
      </x:c>
      <x:c r="G27" s="22" t="str">
        <x:v>B-025</x:v>
      </x:c>
      <x:c r="H27" s="22" t="str">
        <x:v>Report maps visible</x:v>
      </x:c>
    </x:row>
    <x:row r="28">
      <x:c r="A28" s="22" t="str">
        <x:v>E12</x:v>
      </x:c>
      <x:c r="B28" s="22" t="str">
        <x:v>B-027</x:v>
      </x:c>
      <x:c r="C28" s="22" t="str">
        <x:v>Add billing/report credits</x:v>
      </x:c>
      <x:c r="D28" s="22" t="str">
        <x:v>Backend/Product</x:v>
      </x:c>
      <x:c r="E28" s="22" t="str">
        <x:v>Could</x:v>
      </x:c>
      <x:c r="F28" s="22" t="str">
        <x:v>Phase 7</x:v>
      </x:c>
      <x:c r="G28" s="22" t="str">
        <x:v>B-024</x:v>
      </x:c>
      <x:c r="H28" s="22" t="str">
        <x:v>Pay-per-report flow works</x:v>
      </x:c>
    </x:row>
    <x:row r="29">
      <x:c r="A29" s="22" t="str">
        <x:v>E15</x:v>
      </x:c>
      <x:c r="B29" s="22" t="str">
        <x:v>B-028</x:v>
      </x:c>
      <x:c r="C29" s="22" t="str">
        <x:v>Define jurisdiction adapter interface</x:v>
      </x:c>
      <x:c r="D29" s="22" t="str">
        <x:v>Architecture</x:v>
      </x:c>
      <x:c r="E29" s="22" t="str">
        <x:v>Should</x:v>
      </x:c>
      <x:c r="F29" s="22" t="str">
        <x:v>Phase 2</x:v>
      </x:c>
      <x:c r="G29" s="22" t="str">
        <x:v>B-002</x:v>
      </x:c>
      <x:c r="H29" s="22" t="str">
        <x:v>Adapter contract documented</x:v>
      </x:c>
    </x:row>
    <x:row r="30">
      <x:c r="A30" s="22" t="str">
        <x:v>E14</x:v>
      </x:c>
      <x:c r="B30" s="22" t="str">
        <x:v>B-029</x:v>
      </x:c>
      <x:c r="C30" s="22" t="str">
        <x:v>Legal review of disclaimers and output language</x:v>
      </x:c>
      <x:c r="D30" s="22" t="str">
        <x:v>Legal/Product</x:v>
      </x:c>
      <x:c r="E30" s="22" t="str">
        <x:v>Must</x:v>
      </x:c>
      <x:c r="F30" s="22" t="str">
        <x:v>Pre-beta</x:v>
      </x:c>
      <x:c r="G30" s="22" t="str">
        <x:v>B-018</x:v>
      </x:c>
      <x:c r="H30" s="22" t="str">
        <x:v>Approved language</x:v>
      </x:c>
    </x:row>
    <x:row r="31">
      <x:c r="A31" s="22" t="str">
        <x:v>E14</x:v>
      </x:c>
      <x:c r="B31" s="22" t="str">
        <x:v>B-030</x:v>
      </x:c>
      <x:c r="C31" s="22" t="str">
        <x:v>Data-license review workflow</x:v>
      </x:c>
      <x:c r="D31" s="22" t="str">
        <x:v>Legal/Data</x:v>
      </x:c>
      <x:c r="E31" s="22" t="str">
        <x:v>Must</x:v>
      </x:c>
      <x:c r="F31" s="22" t="str">
        <x:v>Phase 1</x:v>
      </x:c>
      <x:c r="G31" s="22" t="str">
        <x:v>B-001</x:v>
      </x:c>
      <x:c r="H31" s="22" t="str">
        <x:v>License checklist 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4348a947336a4a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</x:cols>
  <x:sheetData>
    <x:row r="1">
      <x:c r="A1" s="17" t="str">
        <x:v>Category</x:v>
      </x:c>
      <x:c r="B1" s="17" t="str">
        <x:v>Input</x:v>
      </x:c>
      <x:c r="C1" s="17" t="str">
        <x:v>Initial Value</x:v>
      </x:c>
      <x:c r="D1" s="17" t="str">
        <x:v>Unit</x:v>
      </x:c>
      <x:c r="E1" s="17" t="str">
        <x:v>Importance</x:v>
      </x:c>
      <x:c r="F1" s="17" t="str">
        <x:v>Notes</x:v>
      </x:c>
    </x:row>
    <x:row r="2">
      <x:c r="A2" s="22" t="str">
        <x:v>Data</x:v>
      </x:c>
      <x:c r="B2" s="22" t="str">
        <x:v>Parcel vendor cost per parcel/report</x:v>
      </x:c>
      <x:c r="C2" s="22" t="str">
        <x:v>Unknown</x:v>
      </x:c>
      <x:c r="D2" s="22" t="str">
        <x:v>USD/report</x:v>
      </x:c>
      <x:c r="E2" s="22" t="str">
        <x:v>Critical</x:v>
      </x:c>
      <x:c r="F2" s="22" t="str">
        <x:v>Quote vendors; model tiers</x:v>
      </x:c>
    </x:row>
    <x:row r="3">
      <x:c r="A3" s="22" t="str">
        <x:v>Data</x:v>
      </x:c>
      <x:c r="B3" s="22" t="str">
        <x:v>Comps/listing data cost</x:v>
      </x:c>
      <x:c r="C3" s="22" t="str">
        <x:v>Unknown</x:v>
      </x:c>
      <x:c r="D3" s="22" t="str">
        <x:v>USD/report</x:v>
      </x:c>
      <x:c r="E3" s="22" t="str">
        <x:v>High</x:v>
      </x:c>
      <x:c r="F3" s="22" t="str">
        <x:v>Optional MVP unless users demand market context</x:v>
      </x:c>
    </x:row>
    <x:row r="4">
      <x:c r="A4" s="22" t="str">
        <x:v>Data</x:v>
      </x:c>
      <x:c r="B4" s="22" t="str">
        <x:v>Zoning vendor/API cost</x:v>
      </x:c>
      <x:c r="C4" s="22" t="str">
        <x:v>Unknown</x:v>
      </x:c>
      <x:c r="D4" s="22" t="str">
        <x:v>USD/report</x:v>
      </x:c>
      <x:c r="E4" s="22" t="str">
        <x:v>High</x:v>
      </x:c>
      <x:c r="F4" s="22" t="str">
        <x:v>May use local official sources + manual QA first</x:v>
      </x:c>
    </x:row>
    <x:row r="5">
      <x:c r="A5" s="22" t="str">
        <x:v>Compute</x:v>
      </x:c>
      <x:c r="B5" s="22" t="str">
        <x:v>Spatial overlay runtime</x:v>
      </x:c>
      <x:c r="C5" s="22" t="str">
        <x:v>TBD</x:v>
      </x:c>
      <x:c r="D5" s="22" t="str">
        <x:v>seconds/report</x:v>
      </x:c>
      <x:c r="E5" s="22" t="str">
        <x:v>Medium</x:v>
      </x:c>
      <x:c r="F5" s="22" t="str">
        <x:v>Measure on 100 parcels</x:v>
      </x:c>
    </x:row>
    <x:row r="6">
      <x:c r="A6" s="22" t="str">
        <x:v>Compute</x:v>
      </x:c>
      <x:c r="B6" s="22" t="str">
        <x:v>Raster slope processing cost</x:v>
      </x:c>
      <x:c r="C6" s="22" t="str">
        <x:v>TBD</x:v>
      </x:c>
      <x:c r="D6" s="22" t="str">
        <x:v>USD/report</x:v>
      </x:c>
      <x:c r="E6" s="22" t="str">
        <x:v>Medium</x:v>
      </x:c>
      <x:c r="F6" s="22" t="str">
        <x:v>Precompute where possible</x:v>
      </x:c>
    </x:row>
    <x:row r="7">
      <x:c r="A7" s="22" t="str">
        <x:v>LLM</x:v>
      </x:c>
      <x:c r="B7" s="22" t="str">
        <x:v>Zoning/document extraction tokens</x:v>
      </x:c>
      <x:c r="C7" s="22" t="str">
        <x:v>TBD</x:v>
      </x:c>
      <x:c r="D7" s="22" t="str">
        <x:v>USD/report</x:v>
      </x:c>
      <x:c r="E7" s="22" t="str">
        <x:v>High</x:v>
      </x:c>
      <x:c r="F7" s="22" t="str">
        <x:v>Cache by ordinance/version</x:v>
      </x:c>
    </x:row>
    <x:row r="8">
      <x:c r="A8" s="22" t="str">
        <x:v>Human QA</x:v>
      </x:c>
      <x:c r="B8" s="22" t="str">
        <x:v>Reviewer minutes per report</x:v>
      </x:c>
      <x:c r="C8" s="22" t="str">
        <x:v>TBD</x:v>
      </x:c>
      <x:c r="D8" s="22" t="str">
        <x:v>minutes/report</x:v>
      </x:c>
      <x:c r="E8" s="22" t="str">
        <x:v>Critical</x:v>
      </x:c>
      <x:c r="F8" s="22" t="str">
        <x:v>Measure in manual beta</x:v>
      </x:c>
    </x:row>
    <x:row r="9">
      <x:c r="A9" s="22" t="str">
        <x:v>Map</x:v>
      </x:c>
      <x:c r="B9" s="22" t="str">
        <x:v>Tile/map asset generation cost</x:v>
      </x:c>
      <x:c r="C9" s="22" t="str">
        <x:v>TBD</x:v>
      </x:c>
      <x:c r="D9" s="22" t="str">
        <x:v>USD/report</x:v>
      </x:c>
      <x:c r="E9" s="22" t="str">
        <x:v>Medium</x:v>
      </x:c>
      <x:c r="F9" s="22" t="str">
        <x:v>Prefer cached/static report assets</x:v>
      </x:c>
    </x:row>
    <x:row r="10">
      <x:c r="A10" s="22" t="str">
        <x:v>Storage</x:v>
      </x:c>
      <x:c r="B10" s="22" t="str">
        <x:v>Raw source archive storage</x:v>
      </x:c>
      <x:c r="C10" s="22" t="str">
        <x:v>TBD</x:v>
      </x:c>
      <x:c r="D10" s="22" t="str">
        <x:v>GB/month</x:v>
      </x:c>
      <x:c r="E10" s="22" t="str">
        <x:v>Low/Medium</x:v>
      </x:c>
      <x:c r="F10" s="22" t="str">
        <x:v>Object storage; version retention policy</x:v>
      </x:c>
    </x:row>
    <x:row r="11">
      <x:c r="A11" s="22" t="str">
        <x:v>Support</x:v>
      </x:c>
      <x:c r="B11" s="22" t="str">
        <x:v>Support minutes per report</x:v>
      </x:c>
      <x:c r="C11" s="22" t="str">
        <x:v>TBD</x:v>
      </x:c>
      <x:c r="D11" s="22" t="str">
        <x:v>minutes/report</x:v>
      </x:c>
      <x:c r="E11" s="22" t="str">
        <x:v>Medium</x:v>
      </x:c>
      <x:c r="F11" s="22" t="str">
        <x:v>Track during beta</x:v>
      </x:c>
    </x:row>
    <x:row r="12">
      <x:c r="A12" s="22" t="str">
        <x:v>Legal</x:v>
      </x:c>
      <x:c r="B12" s="22" t="str">
        <x:v>Compliance review allocation</x:v>
      </x:c>
      <x:c r="C12" s="22" t="str">
        <x:v>TBD</x:v>
      </x:c>
      <x:c r="D12" s="22" t="str">
        <x:v>USD/month</x:v>
      </x:c>
      <x:c r="E12" s="22" t="str">
        <x:v>Medium</x:v>
      </x:c>
      <x:c r="F12" s="22" t="str">
        <x:v>Budget before public launch</x:v>
      </x:c>
    </x:row>
    <x:row r="13">
      <x:c r="A13" s="22" t="str">
        <x:v>Insurance</x:v>
      </x:c>
      <x:c r="B13" s="22" t="str">
        <x:v>E&amp;O/professional liability</x:v>
      </x:c>
      <x:c r="C13" s="22" t="str">
        <x:v>TBD</x:v>
      </x:c>
      <x:c r="D13" s="22" t="str">
        <x:v>USD/year</x:v>
      </x:c>
      <x:c r="E13" s="22" t="str">
        <x:v>Medium</x:v>
      </x:c>
      <x:c r="F13" s="22" t="str">
        <x:v>Broker quote after MVP positioning</x:v>
      </x:c>
    </x:row>
    <x:row r="14">
      <x:c r="A14" s="22" t="str">
        <x:v>Revenue</x:v>
      </x:c>
      <x:c r="B14" s="22" t="str">
        <x:v>Consumer report price</x:v>
      </x:c>
      <x:c r="C14" s="22" t="str">
        <x:v>Hypothesis: 49-299</x:v>
      </x:c>
      <x:c r="D14" s="22" t="str">
        <x:v>USD/report</x:v>
      </x:c>
      <x:c r="E14" s="22" t="str">
        <x:v>Critical</x:v>
      </x:c>
      <x:c r="F14" s="22" t="str">
        <x:v>Test willingness to pay</x:v>
      </x:c>
    </x:row>
    <x:row r="15">
      <x:c r="A15" s="22" t="str">
        <x:v>Revenue</x:v>
      </x:c>
      <x:c r="B15" s="22" t="str">
        <x:v>Pro plan price</x:v>
      </x:c>
      <x:c r="C15" s="22" t="str">
        <x:v>Hypothesis: 199-999</x:v>
      </x:c>
      <x:c r="D15" s="22" t="str">
        <x:v>USD/month</x:v>
      </x:c>
      <x:c r="E15" s="22" t="str">
        <x:v>Medium</x:v>
      </x:c>
      <x:c r="F15" s="22" t="str">
        <x:v>Only after repeated usage</x:v>
      </x:c>
    </x:row>
    <x:row r="16">
      <x:c r="A16" s="22" t="str">
        <x:v>Revenue</x:v>
      </x:c>
      <x:c r="B16" s="22" t="str">
        <x:v>Enterprise contract</x:v>
      </x:c>
      <x:c r="C16" s="22" t="str">
        <x:v>Hypothesis: negotiated</x:v>
      </x:c>
      <x:c r="D16" s="22" t="str">
        <x:v>USD/year</x:v>
      </x:c>
      <x:c r="E16" s="22" t="str">
        <x:v>Later</x:v>
      </x:c>
      <x:c r="F16" s="22" t="str">
        <x:v>After batch/API demand</x:v>
      </x:c>
    </x:row>
  </x:sheetData>
  <x:pageMargins left="0.7" right="0.7" top="0.75" bottom="0.75" header="0.3" footer="0.3"/>
  <x:tableParts count="1">
    <x:tablePart xmlns:r="http://schemas.openxmlformats.org/officeDocument/2006/relationships" r:id="Rdad95d9ee8c84cd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</x:cols>
  <x:sheetData>
    <x:row r="1">
      <x:c r="A1" s="17" t="str">
        <x:v>Gate</x:v>
      </x:c>
      <x:c r="B1" s="17" t="str">
        <x:v>Decision</x:v>
      </x:c>
      <x:c r="C1" s="17" t="str">
        <x:v>Required Evidence</x:v>
      </x:c>
      <x:c r="D1" s="17" t="str">
        <x:v>Owner</x:v>
      </x:c>
      <x:c r="E1" s="17" t="str">
        <x:v>Status</x:v>
      </x:c>
    </x:row>
    <x:row r="2">
      <x:c r="A2" s="22" t="str">
        <x:v>DG-001</x:v>
      </x:c>
      <x:c r="B2" s="22" t="str">
        <x:v>Choose first geography</x:v>
      </x:c>
      <x:c r="C2" s="22" t="str">
        <x:v>Selection matrix + source audit</x:v>
      </x:c>
      <x:c r="D2" s="22" t="str">
        <x:v>Product/Data</x:v>
      </x:c>
      <x:c r="E2" s="22" t="str">
        <x:v>Open</x:v>
      </x:c>
    </x:row>
    <x:row r="3">
      <x:c r="A3" s="22" t="str">
        <x:v>DG-002</x:v>
      </x:c>
      <x:c r="B3" s="22" t="str">
        <x:v>Choose parcel data source</x:v>
      </x:c>
      <x:c r="C3" s="22" t="str">
        <x:v>License/cost/coverage comparison</x:v>
      </x:c>
      <x:c r="D3" s="22" t="str">
        <x:v>Data/Legal</x:v>
      </x:c>
      <x:c r="E3" s="22" t="str">
        <x:v>Open</x:v>
      </x:c>
    </x:row>
    <x:row r="4">
      <x:c r="A4" s="22" t="str">
        <x:v>DG-003</x:v>
      </x:c>
      <x:c r="B4" s="22" t="str">
        <x:v>Approve schema</x:v>
      </x:c>
      <x:c r="C4" s="22" t="str">
        <x:v>DDL review + test load</x:v>
      </x:c>
      <x:c r="D4" s="22" t="str">
        <x:v>Engineering</x:v>
      </x:c>
      <x:c r="E4" s="22" t="str">
        <x:v>Open</x:v>
      </x:c>
    </x:row>
    <x:row r="5">
      <x:c r="A5" s="22" t="str">
        <x:v>DG-004</x:v>
      </x:c>
      <x:c r="B5" s="22" t="str">
        <x:v>Approve MVP ruleset</x:v>
      </x:c>
      <x:c r="C5" s="22" t="str">
        <x:v>Golden parcel regression tests</x:v>
      </x:c>
      <x:c r="D5" s="22" t="str">
        <x:v>Product/QA</x:v>
      </x:c>
      <x:c r="E5" s="22" t="str">
        <x:v>Open</x:v>
      </x:c>
    </x:row>
    <x:row r="6">
      <x:c r="A6" s="22" t="str">
        <x:v>DG-005</x:v>
      </x:c>
      <x:c r="B6" s="22" t="str">
        <x:v>Approve report language</x:v>
      </x:c>
      <x:c r="C6" s="22" t="str">
        <x:v>Legal/compliance review</x:v>
      </x:c>
      <x:c r="D6" s="22" t="str">
        <x:v>Legal/Product</x:v>
      </x:c>
      <x:c r="E6" s="22" t="str">
        <x:v>Open</x:v>
      </x:c>
    </x:row>
    <x:row r="7">
      <x:c r="A7" s="22" t="str">
        <x:v>DG-006</x:v>
      </x:c>
      <x:c r="B7" s="22" t="str">
        <x:v>Approve beta pricing</x:v>
      </x:c>
      <x:c r="C7" s="22" t="str">
        <x:v>Measured cost + customer feedback</x:v>
      </x:c>
      <x:c r="D7" s="22" t="str">
        <x:v>Product/Finance</x:v>
      </x:c>
      <x:c r="E7" s="22" t="str">
        <x:v>Open</x:v>
      </x:c>
    </x:row>
    <x:row r="8">
      <x:c r="A8" s="22" t="str">
        <x:v>DG-007</x:v>
      </x:c>
      <x:c r="B8" s="22" t="str">
        <x:v>Approve public beta</x:v>
      </x:c>
      <x:c r="C8" s="22" t="str">
        <x:v>Source stability + QA metrics</x:v>
      </x:c>
      <x:c r="D8" s="22" t="str">
        <x:v>Leadership</x:v>
      </x:c>
      <x:c r="E8" s="2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e9f0d4091561446f"/>
  </x:tableParts>
</x:worksheet>
</file>